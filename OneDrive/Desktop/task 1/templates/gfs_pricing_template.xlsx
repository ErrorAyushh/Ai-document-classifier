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drawings/drawing5.xml" ContentType="application/vnd.openxmlformats-officedocument.drawing+xml"/>
  <Override PartName="/xl/worksheets/sheet8.xml" ContentType="application/vnd.openxmlformats-officedocument.spreadsheetml.worksheet+xml"/>
  <Override PartName="/xl/drawings/drawing6.xml" ContentType="application/vnd.openxmlformats-officedocument.drawing+xml"/>
  <Override PartName="/xl/worksheets/sheet9.xml" ContentType="application/vnd.openxmlformats-officedocument.spreadsheetml.worksheet+xml"/>
  <Override PartName="/xl/drawings/drawing7.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0" yWindow="500" windowWidth="32000" windowHeight="15800" tabRatio="994" firstSheet="0" activeTab="1" autoFilterDateGrouping="1"/>
  </bookViews>
  <sheets>
    <sheet xmlns:r="http://schemas.openxmlformats.org/officeDocument/2006/relationships" name="Pricing Worksheet" sheetId="1" state="visible" r:id="rId1"/>
    <sheet xmlns:r="http://schemas.openxmlformats.org/officeDocument/2006/relationships" name="Proposal" sheetId="2" state="visible" r:id="rId2"/>
    <sheet xmlns:r="http://schemas.openxmlformats.org/officeDocument/2006/relationships" name="Proposal Descriptions" sheetId="3" state="visible" r:id="rId3"/>
    <sheet xmlns:r="http://schemas.openxmlformats.org/officeDocument/2006/relationships" name="Transmittal" sheetId="4" state="visible" r:id="rId4"/>
    <sheet xmlns:r="http://schemas.openxmlformats.org/officeDocument/2006/relationships" name="Invoice" sheetId="5" state="visible" r:id="rId5"/>
    <sheet xmlns:r="http://schemas.openxmlformats.org/officeDocument/2006/relationships" name="Change Order" sheetId="6" state="visible" r:id="rId6"/>
    <sheet xmlns:r="http://schemas.openxmlformats.org/officeDocument/2006/relationships" name="Claim Form" sheetId="7" state="visible" r:id="rId7"/>
    <sheet xmlns:r="http://schemas.openxmlformats.org/officeDocument/2006/relationships" name="Purchase Order" sheetId="8" state="visible" r:id="rId8"/>
    <sheet xmlns:r="http://schemas.openxmlformats.org/officeDocument/2006/relationships" name="Packing List" sheetId="9" state="visible" r:id="rId9"/>
    <sheet xmlns:r="http://schemas.openxmlformats.org/officeDocument/2006/relationships" name="Weights - Descriptions" sheetId="10" state="visible" r:id="rId10"/>
    <sheet xmlns:r="http://schemas.openxmlformats.org/officeDocument/2006/relationships" name="Railings" sheetId="11" state="visible" r:id="rId11"/>
    <sheet xmlns:r="http://schemas.openxmlformats.org/officeDocument/2006/relationships" name="Bonnell - Glass Pricing" sheetId="12" state="visible" r:id="rId12"/>
    <sheet xmlns:r="http://schemas.openxmlformats.org/officeDocument/2006/relationships" name="CR Laurence-Sadev Pricing" sheetId="13" state="visible" r:id="rId13"/>
  </sheets>
  <definedNames>
    <definedName name="_xlnm.Print_Area" localSheetId="1">'Proposal'!$A$1:$K$171</definedName>
    <definedName name="_xlnm.Print_Area" localSheetId="3">'Transmittal'!$B$1:$M$55</definedName>
    <definedName name="_xlnm.Print_Area" localSheetId="11">'Bonnell - Glass Pricing'!$A$1:$H$48</definedName>
  </definedNames>
  <calcPr calcId="191028" fullCalcOnLoad="1"/>
</workbook>
</file>

<file path=xl/styles.xml><?xml version="1.0" encoding="utf-8"?>
<styleSheet xmlns="http://schemas.openxmlformats.org/spreadsheetml/2006/main">
  <numFmts count="8">
    <numFmt numFmtId="164" formatCode="_-&quot;$&quot;* #,##0.00_-;\-&quot;$&quot;* #,##0.00_-;_-&quot;$&quot;* &quot;-&quot;??_-;_-@_-"/>
    <numFmt numFmtId="165" formatCode="_(&quot;$&quot;* #,##0.00_);_(&quot;$&quot;* \(#,##0.00\);_(&quot;$&quot;* &quot;-&quot;??_);_(@_)"/>
    <numFmt numFmtId="166" formatCode="_-&quot;$&quot;* #,##0.0000_-;\-&quot;$&quot;* #,##0.0000_-;_-&quot;$&quot;* &quot;-&quot;????_-;_-@_-"/>
    <numFmt numFmtId="167" formatCode="0.0%"/>
    <numFmt numFmtId="168" formatCode="&quot;$&quot;#,##0.00"/>
    <numFmt numFmtId="169" formatCode="_(&quot;$&quot;* #,##0_);_(&quot;$&quot;* \(#,##0\);_(&quot;$&quot;* &quot;-&quot;??_);_(@_)"/>
    <numFmt numFmtId="170" formatCode="_(&quot;$&quot;* #,##0.000_);_(&quot;$&quot;* \(#,##0.000\);_(&quot;$&quot;* &quot;-&quot;???_);_(@_)"/>
    <numFmt numFmtId="171" formatCode="[&lt;=9999999]###\-####;\(###\)\ ###\-####"/>
  </numFmts>
  <fonts count="55">
    <font>
      <name val="Arial"/>
      <sz val="10"/>
    </font>
    <font>
      <name val="Arial"/>
      <family val="2"/>
      <sz val="10"/>
    </font>
    <font>
      <name val="Arial"/>
      <family val="2"/>
      <color indexed="12"/>
      <sz val="10"/>
      <u val="single"/>
    </font>
    <font>
      <name val="Arial"/>
      <family val="2"/>
      <sz val="8"/>
    </font>
    <font>
      <name val="Arial"/>
      <family val="2"/>
      <sz val="12"/>
    </font>
    <font>
      <name val="Arial"/>
      <family val="2"/>
      <sz val="8"/>
    </font>
    <font>
      <name val="Arial"/>
      <family val="2"/>
      <i val="1"/>
      <sz val="10"/>
    </font>
    <font>
      <name val="Arial"/>
      <family val="2"/>
      <i val="1"/>
      <sz val="8"/>
    </font>
    <font>
      <name val="Arial"/>
      <family val="2"/>
      <b val="1"/>
      <i val="1"/>
      <sz val="20"/>
    </font>
    <font>
      <name val="Arial"/>
      <family val="2"/>
      <b val="1"/>
      <i val="1"/>
      <sz val="26"/>
    </font>
    <font>
      <name val="Arial"/>
      <family val="2"/>
      <sz val="9"/>
    </font>
    <font>
      <name val="Arial"/>
      <family val="2"/>
      <b val="1"/>
      <color indexed="10"/>
      <sz val="10"/>
    </font>
    <font>
      <name val="Arial"/>
      <family val="2"/>
      <b val="1"/>
      <sz val="10"/>
    </font>
    <font>
      <name val="Arial"/>
      <family val="2"/>
      <sz val="14"/>
    </font>
    <font>
      <name val="Arial"/>
      <family val="2"/>
      <b val="1"/>
      <color rgb="FFFF0000"/>
      <sz val="10"/>
    </font>
    <font>
      <name val="Arial"/>
      <family val="2"/>
      <color rgb="FFFF0000"/>
      <sz val="10"/>
    </font>
    <font>
      <name val="Arial"/>
      <family val="2"/>
      <i val="1"/>
      <color rgb="FFFF0000"/>
      <sz val="10"/>
    </font>
    <font>
      <name val="Arial"/>
      <family val="2"/>
      <b val="1"/>
      <sz val="14"/>
    </font>
    <font>
      <name val="Arial"/>
      <family val="2"/>
      <color theme="11"/>
      <sz val="10"/>
      <u val="single"/>
    </font>
    <font>
      <name val="Calibri"/>
      <family val="2"/>
      <b val="1"/>
      <color theme="1"/>
      <sz val="12"/>
      <scheme val="minor"/>
    </font>
    <font>
      <name val="Arial"/>
      <family val="2"/>
      <b val="1"/>
      <sz val="20"/>
    </font>
    <font>
      <name val="Arial"/>
      <family val="2"/>
      <sz val="11"/>
    </font>
    <font>
      <name val="Arial"/>
      <family val="2"/>
      <color theme="1"/>
      <sz val="12"/>
    </font>
    <font>
      <name val="Arial"/>
      <family val="2"/>
      <color indexed="12"/>
      <sz val="14"/>
      <u val="single"/>
    </font>
    <font>
      <name val="Arial Italic"/>
      <sz val="14"/>
    </font>
    <font>
      <name val="Calibri"/>
      <family val="2"/>
      <color theme="1"/>
      <sz val="14"/>
      <scheme val="minor"/>
    </font>
    <font>
      <name val="Arial"/>
      <family val="2"/>
      <color theme="1"/>
      <sz val="14"/>
    </font>
    <font>
      <name val="Arial"/>
      <family val="2"/>
      <b val="1"/>
      <sz val="26"/>
    </font>
    <font>
      <name val="Arial"/>
      <family val="2"/>
      <b val="1"/>
      <sz val="12"/>
    </font>
    <font>
      <name val="Arial Italic"/>
      <b val="1"/>
      <sz val="14"/>
    </font>
    <font>
      <name val="Copperplate Gothic Light"/>
      <family val="2"/>
      <b val="1"/>
      <sz val="14"/>
    </font>
    <font>
      <name val="Calibri"/>
      <family val="2"/>
      <b val="1"/>
      <color theme="1"/>
      <sz val="14"/>
      <scheme val="minor"/>
    </font>
    <font>
      <name val="Arial"/>
      <family val="2"/>
      <color rgb="FF212121"/>
      <sz val="10"/>
    </font>
    <font>
      <name val="Arial"/>
      <family val="2"/>
      <color theme="1"/>
      <sz val="10"/>
    </font>
    <font>
      <name val="Tahoma"/>
      <family val="2"/>
      <color rgb="FF000000"/>
      <sz val="10"/>
    </font>
    <font>
      <name val="Tahoma"/>
      <family val="2"/>
      <b val="1"/>
      <color rgb="FF000000"/>
      <sz val="10"/>
    </font>
    <font>
      <name val="Helvetica"/>
      <family val="2"/>
      <i val="1"/>
      <sz val="10"/>
    </font>
    <font>
      <name val="Helvetica"/>
      <family val="2"/>
      <i val="1"/>
      <sz val="11"/>
    </font>
    <font>
      <name val="Helvetica"/>
      <family val="2"/>
      <i val="1"/>
      <sz val="9"/>
    </font>
    <font>
      <name val="Helvetica"/>
      <family val="2"/>
      <b val="1"/>
      <i val="1"/>
      <sz val="20"/>
    </font>
    <font>
      <name val="Helvetica"/>
      <family val="2"/>
      <b val="1"/>
      <i val="1"/>
      <sz val="10"/>
    </font>
    <font>
      <name val="Helvetica"/>
      <family val="2"/>
      <b val="1"/>
      <i val="1"/>
      <sz val="10"/>
      <u val="single"/>
    </font>
    <font>
      <name val="Helvetica"/>
      <family val="2"/>
      <i val="1"/>
      <sz val="10"/>
      <u val="single"/>
    </font>
    <font>
      <name val="Helvetica"/>
      <family val="2"/>
      <i val="1"/>
      <sz val="9"/>
      <u val="single"/>
    </font>
    <font>
      <name val="Helvetica"/>
      <family val="2"/>
      <b val="1"/>
      <i val="1"/>
      <sz val="9"/>
    </font>
    <font>
      <name val="Helvetica"/>
      <family val="2"/>
      <b val="1"/>
      <i val="1"/>
      <sz val="9"/>
      <u val="single"/>
    </font>
    <font>
      <name val="Helvetica"/>
      <family val="2"/>
      <i val="1"/>
      <sz val="8"/>
    </font>
    <font>
      <name val="Helvetica"/>
      <family val="2"/>
      <i val="1"/>
      <color rgb="FFFF0000"/>
      <sz val="10"/>
    </font>
    <font>
      <name val="Helvetica"/>
      <family val="2"/>
      <i val="1"/>
      <color indexed="12"/>
      <sz val="9"/>
      <u val="single"/>
    </font>
    <font>
      <name val="Helvetica"/>
      <family val="2"/>
      <i val="1"/>
      <color indexed="12"/>
      <sz val="10"/>
      <u val="single"/>
    </font>
    <font>
      <name val="Arial"/>
      <family val="2"/>
      <color rgb="FF000000"/>
      <sz val="10"/>
    </font>
    <font>
      <name val="ArialMT"/>
      <sz val="10"/>
    </font>
    <font>
      <name val="Arial"/>
      <family val="2"/>
      <color rgb="FF313949"/>
      <sz val="10"/>
    </font>
    <font>
      <name val="Arial"/>
      <family val="2"/>
      <i val="1"/>
      <sz val="12"/>
    </font>
    <font>
      <name val="Arial"/>
      <family val="2"/>
      <color theme="0"/>
      <sz val="10"/>
    </font>
  </fonts>
  <fills count="14">
    <fill>
      <patternFill/>
    </fill>
    <fill>
      <patternFill patternType="gray125"/>
    </fill>
    <fill>
      <patternFill patternType="solid">
        <fgColor rgb="FFFFFF00"/>
        <bgColor indexed="64"/>
      </patternFill>
    </fill>
    <fill>
      <patternFill patternType="solid">
        <fgColor theme="0" tint="-0.1499984740745262"/>
        <bgColor indexed="64"/>
      </patternFill>
    </fill>
    <fill>
      <patternFill patternType="solid">
        <fgColor rgb="FF92D050"/>
        <bgColor indexed="64"/>
      </patternFill>
    </fill>
    <fill>
      <patternFill patternType="solid">
        <fgColor theme="7" tint="0.3999755851924192"/>
        <bgColor indexed="64"/>
      </patternFill>
    </fill>
    <fill>
      <patternFill patternType="solid">
        <fgColor theme="4" tint="0.5999938962981048"/>
        <bgColor indexed="64"/>
      </patternFill>
    </fill>
    <fill>
      <patternFill patternType="solid">
        <fgColor rgb="FF29FF01"/>
        <bgColor indexed="64"/>
      </patternFill>
    </fill>
    <fill>
      <patternFill patternType="solid">
        <fgColor rgb="FFFF0000"/>
        <bgColor indexed="64"/>
      </patternFill>
    </fill>
    <fill>
      <patternFill patternType="solid">
        <fgColor theme="2" tint="-0.09997863704336681"/>
        <bgColor indexed="64"/>
      </patternFill>
    </fill>
    <fill>
      <patternFill patternType="solid">
        <fgColor rgb="FF00FA00"/>
        <bgColor indexed="64"/>
      </patternFill>
    </fill>
    <fill>
      <patternFill patternType="solid">
        <fgColor rgb="FFFFC000"/>
        <bgColor indexed="64"/>
      </patternFill>
    </fill>
    <fill>
      <patternFill patternType="solid">
        <fgColor theme="0" tint="-0.249977111117893"/>
        <bgColor indexed="64"/>
      </patternFill>
    </fill>
    <fill>
      <patternFill patternType="solid">
        <fgColor theme="1"/>
        <bgColor indexed="64"/>
      </patternFill>
    </fill>
  </fills>
  <borders count="52">
    <border>
      <left/>
      <right/>
      <top/>
      <bottom/>
      <diagonal/>
    </border>
    <border>
      <left style="thin">
        <color auto="1"/>
      </left>
      <right/>
      <top/>
      <bottom style="thin">
        <color auto="1"/>
      </bottom>
      <diagonal/>
    </border>
    <border>
      <left/>
      <right/>
      <top/>
      <bottom style="thin">
        <color auto="1"/>
      </bottom>
      <diagonal/>
    </border>
    <border>
      <left/>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right style="thin">
        <color auto="1"/>
      </right>
      <top/>
      <bottom style="thin">
        <color auto="1"/>
      </bottom>
      <diagonal/>
    </border>
    <border>
      <left/>
      <right style="thin">
        <color auto="1"/>
      </right>
      <top style="thin">
        <color auto="1"/>
      </top>
      <bottom style="thin">
        <color auto="1"/>
      </bottom>
      <diagonal/>
    </border>
    <border>
      <left/>
      <right/>
      <top/>
      <bottom style="double">
        <color auto="1"/>
      </bottom>
      <diagonal/>
    </border>
    <border>
      <left style="thin">
        <color auto="1"/>
      </left>
      <right/>
      <top style="medium">
        <color auto="1"/>
      </top>
      <bottom style="medium">
        <color auto="1"/>
      </bottom>
      <diagonal/>
    </border>
    <border>
      <left/>
      <right style="thin">
        <color auto="1"/>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thin">
        <color auto="1"/>
      </top>
      <bottom/>
      <diagonal/>
    </border>
    <border>
      <left style="thin">
        <color auto="1"/>
      </left>
      <right style="thin">
        <color auto="1"/>
      </right>
      <top style="thin">
        <color auto="1"/>
      </top>
      <bottom style="double">
        <color auto="1"/>
      </bottom>
      <diagonal/>
    </border>
    <border>
      <left style="medium">
        <color auto="1"/>
      </left>
      <right/>
      <top style="medium">
        <color auto="1"/>
      </top>
      <bottom style="medium">
        <color auto="1"/>
      </bottom>
      <diagonal/>
    </border>
    <border>
      <left style="medium">
        <color auto="1"/>
      </left>
      <right style="thin">
        <color auto="1"/>
      </right>
      <top/>
      <bottom style="thin">
        <color auto="1"/>
      </bottom>
      <diagonal/>
    </border>
    <border>
      <left/>
      <right style="medium">
        <color auto="1"/>
      </right>
      <top/>
      <bottom style="thin">
        <color auto="1"/>
      </bottom>
      <diagonal/>
    </border>
    <border>
      <left style="thin">
        <color auto="1"/>
      </left>
      <right/>
      <top style="thin">
        <color auto="1"/>
      </top>
      <bottom/>
      <diagonal/>
    </border>
    <border>
      <left style="thin">
        <color indexed="64"/>
      </left>
      <right style="medium">
        <color auto="1"/>
      </right>
      <top style="thin">
        <color indexed="64"/>
      </top>
      <bottom style="thin">
        <color indexed="64"/>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right/>
      <top style="medium">
        <color auto="1"/>
      </top>
      <bottom/>
      <diagonal/>
    </border>
    <border>
      <left/>
      <right style="medium">
        <color auto="1"/>
      </right>
      <top style="medium">
        <color auto="1"/>
      </top>
      <bottom/>
      <diagonal/>
    </border>
    <border>
      <left style="thin">
        <color auto="1"/>
      </left>
      <right style="medium">
        <color indexed="64"/>
      </right>
      <top style="medium">
        <color indexed="64"/>
      </top>
      <bottom style="thin">
        <color auto="1"/>
      </bottom>
      <diagonal/>
    </border>
    <border>
      <left style="thin">
        <color auto="1"/>
      </left>
      <right style="medium">
        <color indexed="64"/>
      </right>
      <top style="thin">
        <color auto="1"/>
      </top>
      <bottom style="medium">
        <color indexed="64"/>
      </bottom>
      <diagonal/>
    </border>
    <border>
      <left style="thin">
        <color auto="1"/>
      </left>
      <right/>
      <top style="thin">
        <color auto="1"/>
      </top>
      <bottom style="medium">
        <color auto="1"/>
      </bottom>
      <diagonal/>
    </border>
    <border>
      <left/>
      <right style="thin">
        <color auto="1"/>
      </right>
      <top style="thin">
        <color auto="1"/>
      </top>
      <bottom/>
      <diagonal/>
    </border>
    <border>
      <left/>
      <right style="thin">
        <color auto="1"/>
      </right>
      <top/>
      <bottom/>
      <diagonal/>
    </border>
    <border>
      <left/>
      <right style="thin">
        <color auto="1"/>
      </right>
      <top style="thin">
        <color auto="1"/>
      </top>
      <bottom style="medium">
        <color auto="1"/>
      </bottom>
      <diagonal/>
    </border>
    <border>
      <left style="thin">
        <color auto="1"/>
      </left>
      <right style="medium">
        <color auto="1"/>
      </right>
      <top style="medium">
        <color auto="1"/>
      </top>
      <bottom/>
      <diagonal/>
    </border>
    <border>
      <left/>
      <right/>
      <top style="thin">
        <color auto="1"/>
      </top>
      <bottom style="medium">
        <color auto="1"/>
      </bottom>
      <diagonal/>
    </border>
    <border>
      <left/>
      <right style="medium">
        <color auto="1"/>
      </right>
      <top style="thin">
        <color auto="1"/>
      </top>
      <bottom/>
      <diagonal/>
    </border>
    <border>
      <left/>
      <right style="medium">
        <color auto="1"/>
      </right>
      <top/>
      <bottom/>
      <diagonal/>
    </border>
  </borders>
  <cellStyleXfs count="4">
    <xf numFmtId="0" fontId="0" fillId="0" borderId="0"/>
    <xf numFmtId="44" fontId="1" fillId="0" borderId="0"/>
    <xf numFmtId="0" fontId="2" fillId="0" borderId="0" applyAlignment="1" applyProtection="1">
      <alignment vertical="top"/>
      <protection locked="0" hidden="0"/>
    </xf>
    <xf numFmtId="0" fontId="18" fillId="0" borderId="0"/>
  </cellStyleXfs>
  <cellXfs count="655">
    <xf numFmtId="0" fontId="0" fillId="0" borderId="0" pivotButton="0" quotePrefix="0" xfId="0"/>
    <xf numFmtId="0" fontId="6" fillId="0" borderId="0" pivotButton="0" quotePrefix="0" xfId="0"/>
    <xf numFmtId="0" fontId="7" fillId="0" borderId="0" pivotButton="0" quotePrefix="0" xfId="0"/>
    <xf numFmtId="0" fontId="7" fillId="0" borderId="3" pivotButton="0" quotePrefix="0" xfId="0"/>
    <xf numFmtId="0" fontId="6" fillId="0" borderId="3" pivotButton="0" quotePrefix="0" xfId="0"/>
    <xf numFmtId="0" fontId="0" fillId="0" borderId="11" applyAlignment="1" pivotButton="0" quotePrefix="0" xfId="0">
      <alignment horizontal="left" indent="1"/>
    </xf>
    <xf numFmtId="0" fontId="0" fillId="0" borderId="11" pivotButton="0" quotePrefix="0" xfId="0"/>
    <xf numFmtId="0" fontId="12" fillId="0" borderId="11" applyAlignment="1" pivotButton="0" quotePrefix="0" xfId="0">
      <alignment horizontal="center"/>
    </xf>
    <xf numFmtId="0" fontId="0" fillId="2" borderId="11" applyAlignment="1" pivotButton="0" quotePrefix="0" xfId="0">
      <alignment horizontal="center"/>
    </xf>
    <xf numFmtId="164" fontId="0" fillId="2" borderId="11" applyAlignment="1" pivotButton="0" quotePrefix="0" xfId="0">
      <alignment horizontal="center"/>
    </xf>
    <xf numFmtId="164" fontId="0" fillId="0" borderId="11" applyAlignment="1" pivotButton="0" quotePrefix="0" xfId="0">
      <alignment horizontal="center"/>
    </xf>
    <xf numFmtId="0" fontId="0" fillId="0" borderId="0" applyAlignment="1" pivotButton="0" quotePrefix="0" xfId="0">
      <alignment horizontal="center"/>
    </xf>
    <xf numFmtId="0" fontId="0" fillId="0" borderId="16" applyAlignment="1" pivotButton="0" quotePrefix="0" xfId="0">
      <alignment horizontal="center"/>
    </xf>
    <xf numFmtId="164" fontId="0" fillId="0" borderId="11" pivotButton="0" quotePrefix="0" xfId="0"/>
    <xf numFmtId="2" fontId="0" fillId="0" borderId="11" applyAlignment="1" pivotButton="0" quotePrefix="0" xfId="0">
      <alignment horizontal="center"/>
    </xf>
    <xf numFmtId="0" fontId="0" fillId="0" borderId="11" applyAlignment="1" pivotButton="0" quotePrefix="0" xfId="0">
      <alignment horizontal="left"/>
    </xf>
    <xf numFmtId="164" fontId="0" fillId="3" borderId="16" applyAlignment="1" pivotButton="0" quotePrefix="0" xfId="0">
      <alignment horizontal="center"/>
    </xf>
    <xf numFmtId="0" fontId="0" fillId="3" borderId="11" pivotButton="0" quotePrefix="0" xfId="0"/>
    <xf numFmtId="0" fontId="0" fillId="3" borderId="11" applyAlignment="1" pivotButton="0" quotePrefix="0" xfId="0">
      <alignment horizontal="center"/>
    </xf>
    <xf numFmtId="164" fontId="0" fillId="3" borderId="11" applyAlignment="1" pivotButton="0" quotePrefix="0" xfId="0">
      <alignment horizontal="center"/>
    </xf>
    <xf numFmtId="2" fontId="0" fillId="3" borderId="11" applyAlignment="1" pivotButton="0" quotePrefix="0" xfId="0">
      <alignment horizontal="center"/>
    </xf>
    <xf numFmtId="0" fontId="12" fillId="0" borderId="11" pivotButton="0" quotePrefix="0" xfId="0"/>
    <xf numFmtId="165" fontId="12" fillId="0" borderId="11" applyAlignment="1" pivotButton="0" quotePrefix="0" xfId="1">
      <alignment horizontal="center"/>
    </xf>
    <xf numFmtId="165" fontId="0" fillId="0" borderId="11" applyAlignment="1" pivotButton="0" quotePrefix="0" xfId="1">
      <alignment horizontal="center"/>
    </xf>
    <xf numFmtId="0" fontId="0" fillId="3" borderId="11" applyAlignment="1" pivotButton="0" quotePrefix="0" xfId="0">
      <alignment horizontal="left" indent="1"/>
    </xf>
    <xf numFmtId="0" fontId="0" fillId="0" borderId="11" applyAlignment="1" pivotButton="0" quotePrefix="0" xfId="0">
      <alignment horizontal="left" indent="2"/>
    </xf>
    <xf numFmtId="0" fontId="0" fillId="0" borderId="16" pivotButton="0" quotePrefix="0" xfId="0"/>
    <xf numFmtId="0" fontId="0" fillId="4" borderId="11" pivotButton="0" quotePrefix="0" xfId="0"/>
    <xf numFmtId="0" fontId="0" fillId="4" borderId="17" pivotButton="0" quotePrefix="0" xfId="0"/>
    <xf numFmtId="0" fontId="0" fillId="4" borderId="12" applyAlignment="1" pivotButton="0" quotePrefix="0" xfId="0">
      <alignment horizontal="center"/>
    </xf>
    <xf numFmtId="166" fontId="0" fillId="0" borderId="11" applyAlignment="1" pivotButton="0" quotePrefix="0" xfId="0">
      <alignment horizontal="center"/>
    </xf>
    <xf numFmtId="165" fontId="0" fillId="0" borderId="17" applyAlignment="1" pivotButton="0" quotePrefix="0" xfId="1">
      <alignment horizontal="center"/>
    </xf>
    <xf numFmtId="0" fontId="0" fillId="3" borderId="16" applyAlignment="1" pivotButton="0" quotePrefix="0" xfId="0">
      <alignment horizontal="center"/>
    </xf>
    <xf numFmtId="0" fontId="0" fillId="3" borderId="16" pivotButton="0" quotePrefix="0" xfId="0"/>
    <xf numFmtId="2" fontId="0" fillId="3" borderId="16" applyAlignment="1" pivotButton="0" quotePrefix="0" xfId="0">
      <alignment horizontal="center"/>
    </xf>
    <xf numFmtId="165" fontId="15" fillId="2" borderId="11" applyAlignment="1" pivotButton="0" quotePrefix="0" xfId="1">
      <alignment horizontal="center"/>
    </xf>
    <xf numFmtId="0" fontId="12" fillId="0" borderId="0" applyAlignment="1" pivotButton="0" quotePrefix="0" xfId="0">
      <alignment horizontal="center"/>
    </xf>
    <xf numFmtId="164" fontId="0" fillId="0" borderId="0" applyAlignment="1" pivotButton="0" quotePrefix="0" xfId="0">
      <alignment horizontal="center"/>
    </xf>
    <xf numFmtId="164" fontId="0" fillId="0" borderId="16" applyAlignment="1" pivotButton="0" quotePrefix="0" xfId="0">
      <alignment horizontal="center"/>
    </xf>
    <xf numFmtId="0" fontId="0" fillId="0" borderId="0" applyAlignment="1" pivotButton="0" quotePrefix="0" xfId="0">
      <alignment horizontal="left"/>
    </xf>
    <xf numFmtId="0" fontId="0" fillId="0" borderId="0" applyAlignment="1" pivotButton="0" quotePrefix="0" xfId="0">
      <alignment horizontal="left" indent="2"/>
    </xf>
    <xf numFmtId="1" fontId="0" fillId="0" borderId="0" applyAlignment="1" pivotButton="0" quotePrefix="0" xfId="0">
      <alignment horizontal="center"/>
    </xf>
    <xf numFmtId="0" fontId="0" fillId="2" borderId="0" applyAlignment="1" pivotButton="0" quotePrefix="0" xfId="0">
      <alignment horizontal="center"/>
    </xf>
    <xf numFmtId="0" fontId="0" fillId="0" borderId="8" pivotButton="0" quotePrefix="0" xfId="0"/>
    <xf numFmtId="0" fontId="0" fillId="0" borderId="1" pivotButton="0" quotePrefix="0" xfId="0"/>
    <xf numFmtId="0" fontId="16" fillId="0" borderId="0" pivotButton="0" quotePrefix="0" xfId="0"/>
    <xf numFmtId="0" fontId="0" fillId="0" borderId="15" applyAlignment="1" pivotButton="0" quotePrefix="0" xfId="0">
      <alignment horizontal="center" vertical="center" textRotation="90"/>
    </xf>
    <xf numFmtId="0" fontId="0" fillId="2" borderId="18" applyAlignment="1" pivotButton="0" quotePrefix="0" xfId="0">
      <alignment horizontal="center"/>
    </xf>
    <xf numFmtId="0" fontId="12" fillId="0" borderId="0" pivotButton="0" quotePrefix="0" xfId="0"/>
    <xf numFmtId="164" fontId="0" fillId="3" borderId="11" pivotButton="0" quotePrefix="0" xfId="0"/>
    <xf numFmtId="167" fontId="15" fillId="2" borderId="11" applyAlignment="1" pivotButton="0" quotePrefix="0" xfId="1">
      <alignment horizontal="center"/>
    </xf>
    <xf numFmtId="164" fontId="0" fillId="0" borderId="16" pivotButton="0" quotePrefix="0" xfId="0"/>
    <xf numFmtId="164" fontId="0" fillId="7" borderId="11" pivotButton="0" quotePrefix="0" xfId="0"/>
    <xf numFmtId="165" fontId="1" fillId="3" borderId="11" applyAlignment="1" pivotButton="0" quotePrefix="0" xfId="1">
      <alignment horizontal="center"/>
    </xf>
    <xf numFmtId="165" fontId="1" fillId="3" borderId="17" applyAlignment="1" pivotButton="0" quotePrefix="0" xfId="1">
      <alignment horizontal="center"/>
    </xf>
    <xf numFmtId="1" fontId="0" fillId="2" borderId="11" applyAlignment="1" pivotButton="0" quotePrefix="0" xfId="0">
      <alignment horizontal="center"/>
    </xf>
    <xf numFmtId="164" fontId="15" fillId="0" borderId="11" applyAlignment="1" pivotButton="0" quotePrefix="0" xfId="0">
      <alignment horizontal="center"/>
    </xf>
    <xf numFmtId="0" fontId="12" fillId="7" borderId="11" applyAlignment="1" pivotButton="0" quotePrefix="0" xfId="0">
      <alignment horizontal="center"/>
    </xf>
    <xf numFmtId="0" fontId="12" fillId="7" borderId="11" pivotButton="0" quotePrefix="0" xfId="0"/>
    <xf numFmtId="164" fontId="15" fillId="2" borderId="11" applyAlignment="1" pivotButton="0" quotePrefix="0" xfId="1">
      <alignment horizontal="center"/>
    </xf>
    <xf numFmtId="0" fontId="0" fillId="0" borderId="18" applyAlignment="1" pivotButton="0" quotePrefix="0" xfId="0">
      <alignment horizontal="center"/>
    </xf>
    <xf numFmtId="164" fontId="0" fillId="0" borderId="18" applyAlignment="1" pivotButton="0" quotePrefix="0" xfId="0">
      <alignment horizontal="center"/>
    </xf>
    <xf numFmtId="2" fontId="15" fillId="0" borderId="11" applyAlignment="1" pivotButton="0" quotePrefix="0" xfId="0">
      <alignment horizontal="center"/>
    </xf>
    <xf numFmtId="164" fontId="15" fillId="2" borderId="11" applyAlignment="1" pivotButton="0" quotePrefix="0" xfId="0">
      <alignment horizontal="center"/>
    </xf>
    <xf numFmtId="164" fontId="15" fillId="3" borderId="11" applyAlignment="1" pivotButton="0" quotePrefix="0" xfId="0">
      <alignment horizontal="center"/>
    </xf>
    <xf numFmtId="0" fontId="15" fillId="3" borderId="11" applyAlignment="1" pivotButton="0" quotePrefix="0" xfId="0">
      <alignment horizontal="center"/>
    </xf>
    <xf numFmtId="2" fontId="15" fillId="3" borderId="11" applyAlignment="1" pivotButton="0" quotePrefix="0" xfId="0">
      <alignment horizontal="center"/>
    </xf>
    <xf numFmtId="0" fontId="15" fillId="2" borderId="11" applyAlignment="1" pivotButton="0" quotePrefix="0" xfId="0">
      <alignment horizontal="center"/>
    </xf>
    <xf numFmtId="0" fontId="15" fillId="2" borderId="18" applyAlignment="1" pivotButton="0" quotePrefix="0" xfId="0">
      <alignment horizontal="center"/>
    </xf>
    <xf numFmtId="164" fontId="15" fillId="0" borderId="11" pivotButton="0" quotePrefix="0" xfId="0"/>
    <xf numFmtId="0" fontId="14" fillId="7" borderId="11" applyAlignment="1" pivotButton="0" quotePrefix="0" xfId="0">
      <alignment horizontal="center"/>
    </xf>
    <xf numFmtId="0" fontId="15" fillId="3" borderId="16" applyAlignment="1" pivotButton="0" quotePrefix="0" xfId="0">
      <alignment horizontal="center"/>
    </xf>
    <xf numFmtId="0" fontId="15" fillId="3" borderId="11" pivotButton="0" quotePrefix="0" xfId="0"/>
    <xf numFmtId="165" fontId="15" fillId="0" borderId="17" applyAlignment="1" pivotButton="0" quotePrefix="0" xfId="1">
      <alignment horizontal="center"/>
    </xf>
    <xf numFmtId="164" fontId="15" fillId="5" borderId="1" applyAlignment="1" pivotButton="0" quotePrefix="0" xfId="0">
      <alignment horizontal="center"/>
    </xf>
    <xf numFmtId="0" fontId="15" fillId="0" borderId="11" pivotButton="0" quotePrefix="0" xfId="0"/>
    <xf numFmtId="165" fontId="0" fillId="3" borderId="11" applyAlignment="1" pivotButton="0" quotePrefix="0" xfId="1">
      <alignment horizontal="center"/>
    </xf>
    <xf numFmtId="167" fontId="12" fillId="7" borderId="11" applyAlignment="1" pivotButton="0" quotePrefix="0" xfId="1">
      <alignment horizontal="center"/>
    </xf>
    <xf numFmtId="1" fontId="0" fillId="0" borderId="11" applyAlignment="1" pivotButton="0" quotePrefix="0" xfId="0">
      <alignment horizontal="right"/>
    </xf>
    <xf numFmtId="0" fontId="12" fillId="3" borderId="11" applyAlignment="1" pivotButton="0" quotePrefix="0" xfId="0">
      <alignment horizontal="center"/>
    </xf>
    <xf numFmtId="0" fontId="12" fillId="3" borderId="11" pivotButton="0" quotePrefix="0" xfId="0"/>
    <xf numFmtId="0" fontId="14" fillId="3" borderId="11" applyAlignment="1" pivotButton="0" quotePrefix="0" xfId="0">
      <alignment horizontal="center"/>
    </xf>
    <xf numFmtId="0" fontId="14" fillId="3" borderId="11" pivotButton="0" quotePrefix="0" xfId="0"/>
    <xf numFmtId="2" fontId="12" fillId="3" borderId="11" applyAlignment="1" pivotButton="0" quotePrefix="0" xfId="0">
      <alignment horizontal="center"/>
    </xf>
    <xf numFmtId="2" fontId="12" fillId="0" borderId="11" applyAlignment="1" pivotButton="0" quotePrefix="0" xfId="0">
      <alignment horizontal="center"/>
    </xf>
    <xf numFmtId="0" fontId="0" fillId="0" borderId="11" applyAlignment="1" pivotButton="0" quotePrefix="0" xfId="0">
      <alignment horizontal="right"/>
    </xf>
    <xf numFmtId="1" fontId="15" fillId="3" borderId="11" applyAlignment="1" pivotButton="0" quotePrefix="0" xfId="0">
      <alignment horizontal="right"/>
    </xf>
    <xf numFmtId="0" fontId="12" fillId="0" borderId="16" applyAlignment="1" pivotButton="0" quotePrefix="0" xfId="0">
      <alignment horizontal="center"/>
    </xf>
    <xf numFmtId="0" fontId="12" fillId="0" borderId="16" pivotButton="0" quotePrefix="0" xfId="0"/>
    <xf numFmtId="0" fontId="14" fillId="0" borderId="16" pivotButton="0" quotePrefix="0" xfId="0"/>
    <xf numFmtId="0" fontId="14" fillId="0" borderId="16" applyAlignment="1" pivotButton="0" quotePrefix="0" xfId="0">
      <alignment horizontal="center"/>
    </xf>
    <xf numFmtId="1" fontId="0" fillId="2" borderId="16" applyAlignment="1" pivotButton="0" quotePrefix="0" xfId="0">
      <alignment horizontal="center"/>
    </xf>
    <xf numFmtId="168" fontId="15" fillId="2" borderId="11" applyAlignment="1" pivotButton="0" quotePrefix="0" xfId="1">
      <alignment horizontal="center"/>
    </xf>
    <xf numFmtId="0" fontId="0" fillId="0" borderId="21" applyAlignment="1" pivotButton="0" quotePrefix="0" xfId="0">
      <alignment horizontal="center"/>
    </xf>
    <xf numFmtId="0" fontId="0" fillId="0" borderId="21" applyAlignment="1" pivotButton="0" quotePrefix="0" xfId="0">
      <alignment horizontal="center" wrapText="1"/>
    </xf>
    <xf numFmtId="10" fontId="15" fillId="2" borderId="11" applyAlignment="1" pivotButton="0" quotePrefix="0" xfId="1">
      <alignment horizontal="center"/>
    </xf>
    <xf numFmtId="165" fontId="14" fillId="0" borderId="11" applyAlignment="1" pivotButton="0" quotePrefix="0" xfId="1">
      <alignment horizontal="center"/>
    </xf>
    <xf numFmtId="2" fontId="0" fillId="2" borderId="11" applyAlignment="1" pivotButton="0" quotePrefix="0" xfId="0">
      <alignment horizontal="center"/>
    </xf>
    <xf numFmtId="0" fontId="4" fillId="0" borderId="0" applyProtection="1" pivotButton="0" quotePrefix="0" xfId="0">
      <protection locked="0" hidden="0"/>
    </xf>
    <xf numFmtId="0" fontId="0" fillId="0" borderId="0" applyProtection="1" pivotButton="0" quotePrefix="0" xfId="0">
      <protection locked="0" hidden="0"/>
    </xf>
    <xf numFmtId="0" fontId="10" fillId="0" borderId="0" applyProtection="1" pivotButton="0" quotePrefix="0" xfId="0">
      <protection locked="0" hidden="0"/>
    </xf>
    <xf numFmtId="0" fontId="4" fillId="0" borderId="11" applyProtection="1" pivotButton="0" quotePrefix="0" xfId="0">
      <protection locked="0" hidden="0"/>
    </xf>
    <xf numFmtId="0" fontId="4" fillId="2" borderId="11" applyProtection="1" pivotButton="0" quotePrefix="0" xfId="0">
      <protection locked="0" hidden="0"/>
    </xf>
    <xf numFmtId="0" fontId="20" fillId="0" borderId="0" applyAlignment="1" applyProtection="1" pivotButton="0" quotePrefix="0" xfId="0">
      <alignment horizontal="center"/>
      <protection locked="0" hidden="0"/>
    </xf>
    <xf numFmtId="0" fontId="0" fillId="0" borderId="0" applyAlignment="1" applyProtection="1" pivotButton="0" quotePrefix="0" xfId="0">
      <alignment horizontal="center"/>
      <protection locked="0" hidden="0"/>
    </xf>
    <xf numFmtId="0" fontId="10" fillId="0" borderId="0" applyAlignment="1" applyProtection="1" pivotButton="0" quotePrefix="0" xfId="0">
      <alignment horizontal="left"/>
      <protection locked="0" hidden="0"/>
    </xf>
    <xf numFmtId="0" fontId="4" fillId="0" borderId="0" applyAlignment="1" applyProtection="1" pivotButton="0" quotePrefix="0" xfId="0">
      <alignment horizontal="left"/>
      <protection locked="0" hidden="0"/>
    </xf>
    <xf numFmtId="0" fontId="0" fillId="0" borderId="0" applyAlignment="1" applyProtection="1" pivotButton="0" quotePrefix="0" xfId="0">
      <alignment horizontal="left"/>
      <protection locked="0" hidden="0"/>
    </xf>
    <xf numFmtId="0" fontId="22" fillId="0" borderId="0" applyAlignment="1" pivotButton="0" quotePrefix="0" xfId="0">
      <alignment horizontal="left" vertical="top" wrapText="1"/>
    </xf>
    <xf numFmtId="0" fontId="4" fillId="0" borderId="0" applyAlignment="1" applyProtection="1" pivotButton="0" quotePrefix="0" xfId="0">
      <alignment wrapText="1"/>
      <protection locked="0" hidden="0"/>
    </xf>
    <xf numFmtId="0" fontId="13" fillId="0" borderId="0" applyProtection="1" pivotButton="0" quotePrefix="0" xfId="0">
      <protection locked="0" hidden="0"/>
    </xf>
    <xf numFmtId="0" fontId="13" fillId="0" borderId="0" applyAlignment="1" pivotButton="0" quotePrefix="0" xfId="0">
      <alignment horizontal="left" vertical="center"/>
    </xf>
    <xf numFmtId="14" fontId="13" fillId="0" borderId="0" applyAlignment="1" applyProtection="1" pivotButton="0" quotePrefix="0" xfId="0">
      <alignment horizontal="left" vertical="center"/>
      <protection locked="0" hidden="0"/>
    </xf>
    <xf numFmtId="0" fontId="23" fillId="0" borderId="0" applyAlignment="1" applyProtection="1" pivotButton="0" quotePrefix="0" xfId="2">
      <alignment vertical="center"/>
      <protection locked="0" hidden="0"/>
    </xf>
    <xf numFmtId="0" fontId="13" fillId="0" borderId="0" applyAlignment="1" applyProtection="1" pivotButton="0" quotePrefix="0" xfId="0">
      <alignment horizontal="left" vertical="center" wrapText="1"/>
      <protection locked="0" hidden="0"/>
    </xf>
    <xf numFmtId="49" fontId="13" fillId="0" borderId="0" applyAlignment="1" applyProtection="1" pivotButton="0" quotePrefix="0" xfId="1">
      <alignment horizontal="left"/>
      <protection locked="0" hidden="0"/>
    </xf>
    <xf numFmtId="14" fontId="17" fillId="0" borderId="0" applyAlignment="1" applyProtection="1" pivotButton="0" quotePrefix="0" xfId="0">
      <alignment horizontal="center" vertical="center" wrapText="1"/>
      <protection locked="0" hidden="0"/>
    </xf>
    <xf numFmtId="0" fontId="23" fillId="0" borderId="21" applyProtection="1" pivotButton="0" quotePrefix="0" xfId="2">
      <protection locked="0" hidden="0"/>
    </xf>
    <xf numFmtId="0" fontId="13" fillId="0" borderId="21" applyProtection="1" pivotButton="0" quotePrefix="0" xfId="0">
      <protection locked="0" hidden="0"/>
    </xf>
    <xf numFmtId="0" fontId="13" fillId="6" borderId="0" applyProtection="1" pivotButton="0" quotePrefix="0" xfId="0">
      <protection locked="0" hidden="0"/>
    </xf>
    <xf numFmtId="0" fontId="24" fillId="0" borderId="0" applyAlignment="1" applyProtection="1" pivotButton="0" quotePrefix="0" xfId="0">
      <alignment vertical="justify"/>
      <protection locked="0" hidden="0"/>
    </xf>
    <xf numFmtId="0" fontId="24" fillId="0" borderId="0" applyAlignment="1" pivotButton="0" quotePrefix="0" xfId="0">
      <alignment wrapText="1"/>
    </xf>
    <xf numFmtId="0" fontId="13" fillId="0" borderId="0" pivotButton="0" quotePrefix="0" xfId="0"/>
    <xf numFmtId="0" fontId="25" fillId="0" borderId="0" pivotButton="0" quotePrefix="0" xfId="0"/>
    <xf numFmtId="0" fontId="26" fillId="0" borderId="0" applyAlignment="1" pivotButton="0" quotePrefix="0" xfId="0">
      <alignment horizontal="left" indent="1"/>
    </xf>
    <xf numFmtId="0" fontId="26" fillId="0" borderId="0" pivotButton="0" quotePrefix="0" xfId="0"/>
    <xf numFmtId="0" fontId="23" fillId="0" borderId="0" pivotButton="0" quotePrefix="0" xfId="2"/>
    <xf numFmtId="0" fontId="13" fillId="0" borderId="19" applyAlignment="1" pivotButton="0" quotePrefix="0" xfId="0">
      <alignment wrapText="1"/>
    </xf>
    <xf numFmtId="0" fontId="17" fillId="0" borderId="0" applyAlignment="1" applyProtection="1" pivotButton="0" quotePrefix="0" xfId="0">
      <alignment horizontal="right" vertical="center"/>
      <protection locked="0" hidden="0"/>
    </xf>
    <xf numFmtId="49" fontId="13" fillId="0" borderId="0" applyAlignment="1" applyProtection="1" pivotButton="0" quotePrefix="0" xfId="0">
      <alignment horizontal="center"/>
      <protection locked="0" hidden="0"/>
    </xf>
    <xf numFmtId="0" fontId="13" fillId="0" borderId="0" applyAlignment="1" applyProtection="1" pivotButton="0" quotePrefix="0" xfId="0">
      <alignment vertical="top" wrapText="1"/>
      <protection locked="0" hidden="0"/>
    </xf>
    <xf numFmtId="169" fontId="13" fillId="0" borderId="0" applyAlignment="1" applyProtection="1" pivotButton="0" quotePrefix="0" xfId="1">
      <alignment horizontal="right"/>
      <protection locked="0" hidden="0"/>
    </xf>
    <xf numFmtId="42" fontId="13" fillId="0" borderId="0" applyProtection="1" pivotButton="0" quotePrefix="0" xfId="0">
      <protection locked="0" hidden="0"/>
    </xf>
    <xf numFmtId="0" fontId="17" fillId="0" borderId="0" applyAlignment="1" applyProtection="1" pivotButton="0" quotePrefix="0" xfId="0">
      <alignment horizontal="center" wrapText="1"/>
      <protection locked="0" hidden="0"/>
    </xf>
    <xf numFmtId="0" fontId="24" fillId="0" borderId="0" applyAlignment="1" applyProtection="1" pivotButton="0" quotePrefix="0" xfId="0">
      <alignment horizontal="left"/>
      <protection locked="0" hidden="0"/>
    </xf>
    <xf numFmtId="0" fontId="24" fillId="0" borderId="0" applyAlignment="1" applyProtection="1" pivotButton="0" quotePrefix="0" xfId="0">
      <alignment horizontal="left" vertical="justify"/>
      <protection locked="0" hidden="0"/>
    </xf>
    <xf numFmtId="0" fontId="3" fillId="0" borderId="0" pivotButton="0" quotePrefix="0" xfId="0"/>
    <xf numFmtId="14" fontId="4" fillId="0" borderId="0" applyAlignment="1" pivotButton="0" quotePrefix="0" xfId="0">
      <alignment horizontal="left"/>
    </xf>
    <xf numFmtId="0" fontId="4" fillId="0" borderId="0" applyAlignment="1" pivotButton="0" quotePrefix="0" xfId="0">
      <alignment horizontal="right"/>
    </xf>
    <xf numFmtId="0" fontId="28" fillId="0" borderId="0" applyAlignment="1" pivotButton="0" quotePrefix="0" xfId="0">
      <alignment horizontal="right"/>
    </xf>
    <xf numFmtId="15" fontId="0" fillId="0" borderId="0" pivotButton="0" quotePrefix="0" xfId="0"/>
    <xf numFmtId="0" fontId="28" fillId="0" borderId="4" pivotButton="0" quotePrefix="0" xfId="0"/>
    <xf numFmtId="0" fontId="28" fillId="0" borderId="0" pivotButton="0" quotePrefix="0" xfId="0"/>
    <xf numFmtId="0" fontId="4" fillId="0" borderId="5" applyAlignment="1" pivotButton="0" quotePrefix="0" xfId="0">
      <alignment horizontal="center"/>
    </xf>
    <xf numFmtId="0" fontId="4" fillId="0" borderId="6" applyAlignment="1" pivotButton="0" quotePrefix="0" xfId="0">
      <alignment horizontal="center"/>
    </xf>
    <xf numFmtId="0" fontId="4" fillId="0" borderId="7" applyAlignment="1" pivotButton="0" quotePrefix="0" xfId="0">
      <alignment horizontal="center"/>
    </xf>
    <xf numFmtId="169" fontId="4" fillId="0" borderId="0" pivotButton="0" quotePrefix="0" xfId="1"/>
    <xf numFmtId="0" fontId="13" fillId="9" borderId="11" applyAlignment="1" applyProtection="1" pivotButton="0" quotePrefix="0" xfId="0">
      <alignment horizontal="center"/>
      <protection locked="0" hidden="0"/>
    </xf>
    <xf numFmtId="0" fontId="24" fillId="0" borderId="2" applyAlignment="1" pivotButton="0" quotePrefix="0" xfId="0">
      <alignment wrapText="1"/>
    </xf>
    <xf numFmtId="165" fontId="13" fillId="0" borderId="11" applyProtection="1" pivotButton="0" quotePrefix="0" xfId="0">
      <protection locked="0" hidden="0"/>
    </xf>
    <xf numFmtId="165" fontId="13" fillId="0" borderId="11" pivotButton="0" quotePrefix="0" xfId="0"/>
    <xf numFmtId="9" fontId="0" fillId="0" borderId="0" applyAlignment="1" pivotButton="0" quotePrefix="0" xfId="0">
      <alignment horizontal="center"/>
    </xf>
    <xf numFmtId="165" fontId="0" fillId="0" borderId="0" pivotButton="0" quotePrefix="0" xfId="0"/>
    <xf numFmtId="170" fontId="0" fillId="0" borderId="0" applyAlignment="1" pivotButton="0" quotePrefix="0" xfId="0">
      <alignment horizontal="center"/>
    </xf>
    <xf numFmtId="165" fontId="0" fillId="0" borderId="0" applyAlignment="1" pivotButton="0" quotePrefix="0" xfId="0">
      <alignment horizontal="center"/>
    </xf>
    <xf numFmtId="9" fontId="15" fillId="2" borderId="11" applyAlignment="1" pivotButton="0" quotePrefix="0" xfId="1">
      <alignment horizontal="center"/>
    </xf>
    <xf numFmtId="0" fontId="0" fillId="0" borderId="15" applyAlignment="1" pivotButton="0" quotePrefix="0" xfId="0">
      <alignment horizontal="center" vertical="center" wrapText="1"/>
    </xf>
    <xf numFmtId="0" fontId="0" fillId="0" borderId="0" applyAlignment="1" applyProtection="1" pivotButton="0" quotePrefix="0" xfId="0">
      <alignment horizontal="left" vertical="top" wrapText="1"/>
      <protection locked="0" hidden="0"/>
    </xf>
    <xf numFmtId="0" fontId="0" fillId="2" borderId="11" applyProtection="1" pivotButton="0" quotePrefix="0" xfId="0">
      <protection locked="0" hidden="0"/>
    </xf>
    <xf numFmtId="0" fontId="28" fillId="0" borderId="4" applyAlignment="1" pivotButton="0" quotePrefix="0" xfId="0">
      <alignment horizontal="center" vertical="center"/>
    </xf>
    <xf numFmtId="0" fontId="12" fillId="0" borderId="15" pivotButton="0" quotePrefix="0" xfId="0"/>
    <xf numFmtId="0" fontId="0" fillId="0" borderId="15" applyAlignment="1" pivotButton="0" quotePrefix="0" xfId="0">
      <alignment horizontal="center" vertical="center" textRotation="90" wrapText="1"/>
    </xf>
    <xf numFmtId="164" fontId="15" fillId="0" borderId="0" applyAlignment="1" pivotButton="0" quotePrefix="0" xfId="0">
      <alignment horizontal="center"/>
    </xf>
    <xf numFmtId="0" fontId="15" fillId="0" borderId="0" pivotButton="0" quotePrefix="0" xfId="0"/>
    <xf numFmtId="0" fontId="0" fillId="0" borderId="11" applyAlignment="1" pivotButton="0" quotePrefix="0" xfId="0">
      <alignment horizontal="right" indent="1"/>
    </xf>
    <xf numFmtId="0" fontId="0" fillId="3" borderId="11" applyAlignment="1" pivotButton="0" quotePrefix="0" xfId="0">
      <alignment horizontal="left"/>
    </xf>
    <xf numFmtId="165" fontId="12" fillId="7" borderId="11" applyAlignment="1" pivotButton="0" quotePrefix="0" xfId="1">
      <alignment horizontal="center"/>
    </xf>
    <xf numFmtId="164" fontId="0" fillId="2" borderId="30" applyAlignment="1" pivotButton="0" quotePrefix="0" xfId="0">
      <alignment horizontal="center"/>
    </xf>
    <xf numFmtId="165" fontId="0" fillId="5" borderId="16" pivotButton="0" quotePrefix="0" xfId="0"/>
    <xf numFmtId="0" fontId="4" fillId="0" borderId="10" applyAlignment="1" pivotButton="0" quotePrefix="0" xfId="0">
      <alignment horizontal="center"/>
    </xf>
    <xf numFmtId="0" fontId="4" fillId="0" borderId="32" applyAlignment="1" pivotButton="0" quotePrefix="0" xfId="0">
      <alignment horizontal="center"/>
    </xf>
    <xf numFmtId="14" fontId="4" fillId="0" borderId="16" applyAlignment="1" pivotButton="0" quotePrefix="0" xfId="0">
      <alignment horizontal="center"/>
    </xf>
    <xf numFmtId="0" fontId="4" fillId="0" borderId="16" applyAlignment="1" pivotButton="0" quotePrefix="0" xfId="0">
      <alignment horizontal="center"/>
    </xf>
    <xf numFmtId="3" fontId="0" fillId="0" borderId="11" pivotButton="0" quotePrefix="0" xfId="0"/>
    <xf numFmtId="42" fontId="15" fillId="2" borderId="11" applyAlignment="1" pivotButton="0" quotePrefix="0" xfId="1">
      <alignment horizontal="center"/>
    </xf>
    <xf numFmtId="164" fontId="0" fillId="10" borderId="16" pivotButton="0" quotePrefix="0" xfId="0"/>
    <xf numFmtId="0" fontId="0" fillId="0" borderId="15" applyAlignment="1" pivotButton="0" quotePrefix="0" xfId="0">
      <alignment horizontal="center" wrapText="1"/>
    </xf>
    <xf numFmtId="9" fontId="15" fillId="3" borderId="11" applyAlignment="1" pivotButton="0" quotePrefix="0" xfId="1">
      <alignment horizontal="center"/>
    </xf>
    <xf numFmtId="165" fontId="0" fillId="8" borderId="16" pivotButton="0" quotePrefix="0" xfId="0"/>
    <xf numFmtId="0" fontId="4" fillId="0" borderId="18" applyProtection="1" pivotButton="0" quotePrefix="0" xfId="0">
      <protection locked="0" hidden="0"/>
    </xf>
    <xf numFmtId="0" fontId="0" fillId="2" borderId="18" applyProtection="1" pivotButton="0" quotePrefix="0" xfId="0">
      <protection locked="0" hidden="0"/>
    </xf>
    <xf numFmtId="170" fontId="0" fillId="0" borderId="0" pivotButton="0" quotePrefix="0" xfId="0"/>
    <xf numFmtId="0" fontId="1" fillId="0" borderId="0" pivotButton="0" quotePrefix="0" xfId="0"/>
    <xf numFmtId="0" fontId="1" fillId="0" borderId="11" applyAlignment="1" pivotButton="0" quotePrefix="0" xfId="0">
      <alignment horizontal="left" indent="2"/>
    </xf>
    <xf numFmtId="165" fontId="1" fillId="0" borderId="0" applyAlignment="1" pivotButton="0" quotePrefix="0" xfId="0">
      <alignment horizontal="center"/>
    </xf>
    <xf numFmtId="0" fontId="1" fillId="0" borderId="11" applyAlignment="1" pivotButton="0" quotePrefix="0" xfId="0">
      <alignment horizontal="left" indent="1"/>
    </xf>
    <xf numFmtId="165" fontId="0" fillId="2" borderId="0" pivotButton="0" quotePrefix="0" xfId="0"/>
    <xf numFmtId="165" fontId="0" fillId="2" borderId="0" applyAlignment="1" pivotButton="0" quotePrefix="0" xfId="0">
      <alignment horizontal="center"/>
    </xf>
    <xf numFmtId="0" fontId="1" fillId="3" borderId="11" pivotButton="0" quotePrefix="0" xfId="0"/>
    <xf numFmtId="0" fontId="1" fillId="0" borderId="11" pivotButton="0" quotePrefix="0" xfId="0"/>
    <xf numFmtId="0" fontId="1" fillId="0" borderId="0" applyAlignment="1" pivotButton="0" quotePrefix="0" xfId="0">
      <alignment horizontal="left"/>
    </xf>
    <xf numFmtId="0" fontId="21" fillId="0" borderId="7" pivotButton="0" quotePrefix="0" xfId="0"/>
    <xf numFmtId="0" fontId="21" fillId="0" borderId="8" pivotButton="0" quotePrefix="0" xfId="0"/>
    <xf numFmtId="0" fontId="1" fillId="0" borderId="8" pivotButton="0" quotePrefix="0" xfId="0"/>
    <xf numFmtId="0" fontId="21" fillId="0" borderId="14" pivotButton="0" quotePrefix="0" xfId="0"/>
    <xf numFmtId="0" fontId="1" fillId="0" borderId="15" pivotButton="0" quotePrefix="0" xfId="0"/>
    <xf numFmtId="0" fontId="21" fillId="0" borderId="10" pivotButton="0" quotePrefix="0" xfId="0"/>
    <xf numFmtId="0" fontId="0" fillId="0" borderId="18" applyAlignment="1" pivotButton="0" quotePrefix="0" xfId="0">
      <alignment horizontal="left" indent="1"/>
    </xf>
    <xf numFmtId="0" fontId="0" fillId="0" borderId="16" applyAlignment="1" pivotButton="0" quotePrefix="0" xfId="0">
      <alignment horizontal="left" indent="1"/>
    </xf>
    <xf numFmtId="2" fontId="0" fillId="10" borderId="16" applyAlignment="1" pivotButton="0" quotePrefix="0" xfId="0">
      <alignment horizontal="center"/>
    </xf>
    <xf numFmtId="2" fontId="0" fillId="10" borderId="11" applyAlignment="1" pivotButton="0" quotePrefix="0" xfId="0">
      <alignment horizontal="center"/>
    </xf>
    <xf numFmtId="0" fontId="0" fillId="10" borderId="16" applyAlignment="1" pivotButton="0" quotePrefix="0" xfId="0">
      <alignment horizontal="center"/>
    </xf>
    <xf numFmtId="164" fontId="0" fillId="10" borderId="11" applyAlignment="1" pivotButton="0" quotePrefix="0" xfId="0">
      <alignment horizontal="center"/>
    </xf>
    <xf numFmtId="164" fontId="15" fillId="0" borderId="18" pivotButton="0" quotePrefix="0" xfId="0"/>
    <xf numFmtId="164" fontId="15" fillId="0" borderId="16" pivotButton="0" quotePrefix="0" xfId="0"/>
    <xf numFmtId="164" fontId="14" fillId="0" borderId="11" pivotButton="0" quotePrefix="0" xfId="0"/>
    <xf numFmtId="164" fontId="1" fillId="2" borderId="11" applyAlignment="1" pivotButton="0" quotePrefix="0" xfId="0">
      <alignment horizontal="center"/>
    </xf>
    <xf numFmtId="0" fontId="1" fillId="2" borderId="11" applyAlignment="1" pivotButton="0" quotePrefix="0" xfId="0">
      <alignment horizontal="center"/>
    </xf>
    <xf numFmtId="0" fontId="1" fillId="2" borderId="16" applyAlignment="1" pivotButton="0" quotePrefix="0" xfId="0">
      <alignment horizontal="center"/>
    </xf>
    <xf numFmtId="0" fontId="0" fillId="10" borderId="0" pivotButton="0" quotePrefix="0" xfId="0"/>
    <xf numFmtId="0" fontId="0" fillId="10" borderId="11" applyAlignment="1" pivotButton="0" quotePrefix="0" xfId="0">
      <alignment horizontal="center"/>
    </xf>
    <xf numFmtId="9" fontId="33" fillId="3" borderId="11" applyAlignment="1" pivotButton="0" quotePrefix="0" xfId="1">
      <alignment horizontal="center"/>
    </xf>
    <xf numFmtId="164" fontId="1" fillId="3" borderId="11" applyAlignment="1" pivotButton="0" quotePrefix="0" xfId="0">
      <alignment horizontal="center"/>
    </xf>
    <xf numFmtId="164" fontId="15" fillId="3" borderId="11" applyAlignment="1" pivotButton="0" quotePrefix="0" xfId="1">
      <alignment horizontal="center"/>
    </xf>
    <xf numFmtId="0" fontId="0" fillId="3" borderId="18" applyAlignment="1" pivotButton="0" quotePrefix="0" xfId="0">
      <alignment horizontal="center"/>
    </xf>
    <xf numFmtId="164" fontId="0" fillId="3" borderId="18" applyAlignment="1" pivotButton="0" quotePrefix="0" xfId="0">
      <alignment horizontal="center"/>
    </xf>
    <xf numFmtId="164" fontId="15" fillId="3" borderId="18" applyAlignment="1" pivotButton="0" quotePrefix="0" xfId="0">
      <alignment horizontal="center"/>
    </xf>
    <xf numFmtId="165" fontId="15" fillId="3" borderId="11" applyAlignment="1" pivotButton="0" quotePrefix="0" xfId="1">
      <alignment horizontal="center"/>
    </xf>
    <xf numFmtId="0" fontId="15" fillId="3" borderId="18" applyAlignment="1" pivotButton="0" quotePrefix="0" xfId="0">
      <alignment horizontal="center"/>
    </xf>
    <xf numFmtId="0" fontId="1" fillId="0" borderId="11" applyAlignment="1" pivotButton="0" quotePrefix="0" xfId="0">
      <alignment horizontal="right" indent="1"/>
    </xf>
    <xf numFmtId="164" fontId="0" fillId="3" borderId="11" applyAlignment="1" pivotButton="0" quotePrefix="0" xfId="0">
      <alignment horizontal="right"/>
    </xf>
    <xf numFmtId="9" fontId="33" fillId="3" borderId="11" applyAlignment="1" pivotButton="0" quotePrefix="0" xfId="1">
      <alignment horizontal="right"/>
    </xf>
    <xf numFmtId="164" fontId="1" fillId="3" borderId="11" applyAlignment="1" pivotButton="0" quotePrefix="0" xfId="0">
      <alignment horizontal="right"/>
    </xf>
    <xf numFmtId="0" fontId="1" fillId="10" borderId="0" pivotButton="0" quotePrefix="0" xfId="0"/>
    <xf numFmtId="0" fontId="1" fillId="3" borderId="11" applyAlignment="1" pivotButton="0" quotePrefix="0" xfId="0">
      <alignment horizontal="center"/>
    </xf>
    <xf numFmtId="0" fontId="12" fillId="0" borderId="11" applyAlignment="1" pivotButton="0" quotePrefix="0" xfId="0">
      <alignment horizontal="left"/>
    </xf>
    <xf numFmtId="3" fontId="0" fillId="10" borderId="11" pivotButton="0" quotePrefix="0" xfId="0"/>
    <xf numFmtId="165" fontId="0" fillId="2" borderId="11" applyAlignment="1" pivotButton="0" quotePrefix="0" xfId="0">
      <alignment horizontal="center"/>
    </xf>
    <xf numFmtId="0" fontId="12" fillId="10" borderId="0" pivotButton="0" quotePrefix="0" xfId="0"/>
    <xf numFmtId="0" fontId="1" fillId="2" borderId="30" applyAlignment="1" pivotButton="0" quotePrefix="0" xfId="0">
      <alignment horizontal="center"/>
    </xf>
    <xf numFmtId="165" fontId="1" fillId="0" borderId="11" applyAlignment="1" pivotButton="0" quotePrefix="0" xfId="1">
      <alignment horizontal="center"/>
    </xf>
    <xf numFmtId="165" fontId="0" fillId="0" borderId="11" applyAlignment="1" pivotButton="0" quotePrefix="0" xfId="1">
      <alignment horizontal="center"/>
    </xf>
    <xf numFmtId="0" fontId="1" fillId="0" borderId="0" applyAlignment="1" pivotButton="0" quotePrefix="0" xfId="0">
      <alignment horizontal="left" indent="2"/>
    </xf>
    <xf numFmtId="1" fontId="0" fillId="10" borderId="0" applyAlignment="1" pivotButton="0" quotePrefix="0" xfId="0">
      <alignment horizontal="center"/>
    </xf>
    <xf numFmtId="0" fontId="1" fillId="0" borderId="11" applyAlignment="1" pivotButton="0" quotePrefix="0" xfId="0">
      <alignment horizontal="center"/>
    </xf>
    <xf numFmtId="0" fontId="0" fillId="3" borderId="17" applyAlignment="1" pivotButton="0" quotePrefix="0" xfId="0">
      <alignment horizontal="center"/>
    </xf>
    <xf numFmtId="164" fontId="0" fillId="3" borderId="17" applyAlignment="1" pivotButton="0" quotePrefix="0" xfId="0">
      <alignment horizontal="center"/>
    </xf>
    <xf numFmtId="164" fontId="0" fillId="0" borderId="17" applyAlignment="1" pivotButton="0" quotePrefix="0" xfId="0">
      <alignment horizontal="center"/>
    </xf>
    <xf numFmtId="164" fontId="0" fillId="2" borderId="17" applyAlignment="1" pivotButton="0" quotePrefix="0" xfId="0">
      <alignment horizontal="center"/>
    </xf>
    <xf numFmtId="164" fontId="0" fillId="3" borderId="34" applyAlignment="1" pivotButton="0" quotePrefix="0" xfId="0">
      <alignment horizontal="center"/>
    </xf>
    <xf numFmtId="164" fontId="0" fillId="3" borderId="17" pivotButton="0" quotePrefix="0" xfId="0"/>
    <xf numFmtId="164" fontId="0" fillId="0" borderId="17" pivotButton="0" quotePrefix="0" xfId="0"/>
    <xf numFmtId="165" fontId="0" fillId="5" borderId="1" pivotButton="0" quotePrefix="0" xfId="0"/>
    <xf numFmtId="165" fontId="12" fillId="0" borderId="17" applyAlignment="1" pivotButton="0" quotePrefix="0" xfId="1">
      <alignment horizontal="center"/>
    </xf>
    <xf numFmtId="165" fontId="0" fillId="2" borderId="17" applyAlignment="1" pivotButton="0" quotePrefix="0" xfId="1">
      <alignment horizontal="center"/>
    </xf>
    <xf numFmtId="165" fontId="0" fillId="3" borderId="1" pivotButton="0" quotePrefix="0" xfId="0"/>
    <xf numFmtId="165" fontId="0" fillId="3" borderId="17" applyAlignment="1" pivotButton="0" quotePrefix="0" xfId="1">
      <alignment horizontal="center"/>
    </xf>
    <xf numFmtId="164" fontId="15" fillId="2" borderId="17" applyAlignment="1" pivotButton="0" quotePrefix="0" xfId="0">
      <alignment horizontal="center"/>
    </xf>
    <xf numFmtId="0" fontId="0" fillId="11" borderId="0" pivotButton="0" quotePrefix="0" xfId="0"/>
    <xf numFmtId="164" fontId="1" fillId="2" borderId="17" applyAlignment="1" pivotButton="0" quotePrefix="0" xfId="0">
      <alignment horizontal="center"/>
    </xf>
    <xf numFmtId="165" fontId="1" fillId="2" borderId="17" applyAlignment="1" pivotButton="0" quotePrefix="0" xfId="1">
      <alignment horizontal="center"/>
    </xf>
    <xf numFmtId="0" fontId="0" fillId="3" borderId="8" applyAlignment="1" pivotButton="0" quotePrefix="0" xfId="0">
      <alignment horizontal="center"/>
    </xf>
    <xf numFmtId="0" fontId="0" fillId="3" borderId="15" applyAlignment="1" pivotButton="0" quotePrefix="0" xfId="0">
      <alignment horizontal="center"/>
    </xf>
    <xf numFmtId="0" fontId="0" fillId="3" borderId="8" pivotButton="0" quotePrefix="0" xfId="0"/>
    <xf numFmtId="0" fontId="0" fillId="3" borderId="15" pivotButton="0" quotePrefix="0" xfId="0"/>
    <xf numFmtId="165" fontId="1" fillId="2" borderId="11" pivotButton="0" quotePrefix="0" xfId="0"/>
    <xf numFmtId="2" fontId="1" fillId="10" borderId="11" applyAlignment="1" pivotButton="0" quotePrefix="0" xfId="0">
      <alignment horizontal="center"/>
    </xf>
    <xf numFmtId="165" fontId="1" fillId="8" borderId="11" pivotButton="0" quotePrefix="0" xfId="0"/>
    <xf numFmtId="165" fontId="1" fillId="10" borderId="11" pivotButton="0" quotePrefix="0" xfId="0"/>
    <xf numFmtId="164" fontId="1" fillId="2" borderId="30" applyAlignment="1" pivotButton="0" quotePrefix="0" xfId="0">
      <alignment horizontal="center"/>
    </xf>
    <xf numFmtId="2" fontId="0" fillId="10" borderId="30" applyAlignment="1" pivotButton="0" quotePrefix="0" xfId="0">
      <alignment horizontal="center"/>
    </xf>
    <xf numFmtId="164" fontId="0" fillId="10" borderId="30" applyAlignment="1" pivotButton="0" quotePrefix="0" xfId="0">
      <alignment horizontal="center"/>
    </xf>
    <xf numFmtId="0" fontId="1" fillId="0" borderId="16" pivotButton="0" quotePrefix="0" xfId="0"/>
    <xf numFmtId="165" fontId="0" fillId="10" borderId="11" applyAlignment="1" pivotButton="0" quotePrefix="0" xfId="0">
      <alignment horizontal="center"/>
    </xf>
    <xf numFmtId="0" fontId="39" fillId="0" borderId="0" applyAlignment="1" applyProtection="1" pivotButton="0" quotePrefix="0" xfId="0">
      <alignment horizontal="center"/>
      <protection locked="0" hidden="0"/>
    </xf>
    <xf numFmtId="0" fontId="38" fillId="0" borderId="0" applyProtection="1" pivotButton="0" quotePrefix="0" xfId="0">
      <protection locked="0" hidden="0"/>
    </xf>
    <xf numFmtId="0" fontId="36" fillId="0" borderId="0" applyProtection="1" pivotButton="0" quotePrefix="0" xfId="0">
      <protection locked="0" hidden="0"/>
    </xf>
    <xf numFmtId="0" fontId="36" fillId="0" borderId="0" applyAlignment="1" applyProtection="1" pivotButton="0" quotePrefix="0" xfId="0">
      <alignment horizontal="right" vertical="center"/>
      <protection locked="0" hidden="0"/>
    </xf>
    <xf numFmtId="14" fontId="36" fillId="0" borderId="0" applyAlignment="1" applyProtection="1" pivotButton="0" quotePrefix="0" xfId="0">
      <alignment horizontal="left" vertical="center"/>
      <protection locked="0" hidden="0"/>
    </xf>
    <xf numFmtId="0" fontId="36" fillId="0" borderId="0" applyAlignment="1" applyProtection="1" pivotButton="0" quotePrefix="0" xfId="0">
      <alignment horizontal="left" vertical="center"/>
      <protection locked="0" hidden="0"/>
    </xf>
    <xf numFmtId="0" fontId="36" fillId="0" borderId="0" applyAlignment="1" applyProtection="1" pivotButton="0" quotePrefix="0" xfId="0">
      <alignment horizontal="right"/>
      <protection locked="0" hidden="0"/>
    </xf>
    <xf numFmtId="0" fontId="38" fillId="0" borderId="0" applyAlignment="1" applyProtection="1" pivotButton="0" quotePrefix="0" xfId="0">
      <alignment horizontal="left"/>
      <protection locked="0" hidden="0"/>
    </xf>
    <xf numFmtId="0" fontId="36" fillId="0" borderId="0" applyAlignment="1" pivotButton="0" quotePrefix="0" xfId="0">
      <alignment horizontal="right" vertical="center"/>
    </xf>
    <xf numFmtId="171" fontId="36" fillId="0" borderId="0" applyAlignment="1" applyProtection="1" pivotButton="0" quotePrefix="0" xfId="0">
      <alignment horizontal="left" vertical="center"/>
      <protection locked="0" hidden="0"/>
    </xf>
    <xf numFmtId="49" fontId="36" fillId="0" borderId="0" applyAlignment="1" applyProtection="1" pivotButton="0" quotePrefix="0" xfId="1">
      <alignment horizontal="left"/>
      <protection locked="0" hidden="0"/>
    </xf>
    <xf numFmtId="14" fontId="40" fillId="0" borderId="0" applyAlignment="1" applyProtection="1" pivotButton="0" quotePrefix="0" xfId="0">
      <alignment horizontal="center" vertical="center" wrapText="1"/>
      <protection locked="0" hidden="0"/>
    </xf>
    <xf numFmtId="0" fontId="36" fillId="0" borderId="0" applyAlignment="1" applyProtection="1" pivotButton="0" quotePrefix="0" xfId="0">
      <alignment vertical="center"/>
      <protection locked="0" hidden="0"/>
    </xf>
    <xf numFmtId="0" fontId="36" fillId="6" borderId="0" applyProtection="1" pivotButton="0" quotePrefix="0" xfId="0">
      <protection locked="0" hidden="0"/>
    </xf>
    <xf numFmtId="0" fontId="38" fillId="6" borderId="0" applyProtection="1" pivotButton="0" quotePrefix="0" xfId="0">
      <protection locked="0" hidden="0"/>
    </xf>
    <xf numFmtId="49" fontId="41" fillId="0" borderId="0" applyAlignment="1" applyProtection="1" pivotButton="0" quotePrefix="0" xfId="0">
      <alignment horizontal="left"/>
      <protection locked="0" hidden="0"/>
    </xf>
    <xf numFmtId="0" fontId="36" fillId="0" borderId="0" applyAlignment="1" applyProtection="1" pivotButton="0" quotePrefix="0" xfId="0">
      <alignment vertical="top" wrapText="1"/>
      <protection locked="0" hidden="0"/>
    </xf>
    <xf numFmtId="169" fontId="36" fillId="0" borderId="0" applyAlignment="1" applyProtection="1" pivotButton="0" quotePrefix="0" xfId="1">
      <alignment horizontal="right"/>
      <protection locked="0" hidden="0"/>
    </xf>
    <xf numFmtId="42" fontId="38" fillId="0" borderId="0" applyProtection="1" pivotButton="0" quotePrefix="0" xfId="0">
      <protection locked="0" hidden="0"/>
    </xf>
    <xf numFmtId="49" fontId="42" fillId="0" borderId="0" applyAlignment="1" applyProtection="1" pivotButton="0" quotePrefix="0" xfId="0">
      <alignment horizontal="center" vertical="center"/>
      <protection locked="0" hidden="0"/>
    </xf>
    <xf numFmtId="0" fontId="42" fillId="0" borderId="0" applyAlignment="1" applyProtection="1" pivotButton="0" quotePrefix="0" xfId="0">
      <alignment horizontal="center" vertical="center" wrapText="1"/>
      <protection locked="0" hidden="0"/>
    </xf>
    <xf numFmtId="42" fontId="43" fillId="0" borderId="0" applyAlignment="1" applyProtection="1" pivotButton="0" quotePrefix="0" xfId="0">
      <alignment horizontal="center" vertical="center"/>
      <protection locked="0" hidden="0"/>
    </xf>
    <xf numFmtId="0" fontId="36" fillId="0" borderId="0" applyAlignment="1" applyProtection="1" pivotButton="0" quotePrefix="0" xfId="0">
      <alignment horizontal="center" vertical="center"/>
      <protection locked="0" hidden="0"/>
    </xf>
    <xf numFmtId="2" fontId="36" fillId="0" borderId="0" applyAlignment="1" applyProtection="1" pivotButton="0" quotePrefix="0" xfId="0">
      <alignment horizontal="center" vertical="center" wrapText="1"/>
      <protection locked="0" hidden="0"/>
    </xf>
    <xf numFmtId="49" fontId="36" fillId="0" borderId="0" applyAlignment="1" applyProtection="1" pivotButton="0" quotePrefix="0" xfId="0">
      <alignment horizontal="center"/>
      <protection locked="0" hidden="0"/>
    </xf>
    <xf numFmtId="0" fontId="41" fillId="0" borderId="0" applyAlignment="1" applyProtection="1" pivotButton="0" quotePrefix="0" xfId="0">
      <alignment horizontal="left"/>
      <protection locked="0" hidden="0"/>
    </xf>
    <xf numFmtId="0" fontId="36" fillId="0" borderId="0" applyAlignment="1" applyProtection="1" pivotButton="0" quotePrefix="0" xfId="0">
      <alignment horizontal="left" indent="1"/>
      <protection locked="0" hidden="0"/>
    </xf>
    <xf numFmtId="0" fontId="40" fillId="0" borderId="0" applyAlignment="1" applyProtection="1" pivotButton="0" quotePrefix="0" xfId="0">
      <alignment horizontal="center"/>
      <protection locked="0" hidden="0"/>
    </xf>
    <xf numFmtId="42" fontId="36" fillId="0" borderId="0" applyAlignment="1" applyProtection="1" pivotButton="0" quotePrefix="0" xfId="0">
      <alignment horizontal="right"/>
      <protection locked="0" hidden="0"/>
    </xf>
    <xf numFmtId="0" fontId="40" fillId="0" borderId="0" applyAlignment="1" applyProtection="1" pivotButton="0" quotePrefix="0" xfId="0">
      <alignment horizontal="right"/>
      <protection locked="0" hidden="0"/>
    </xf>
    <xf numFmtId="42" fontId="40" fillId="0" borderId="0" applyAlignment="1" applyProtection="1" pivotButton="0" quotePrefix="0" xfId="0">
      <alignment horizontal="right"/>
      <protection locked="0" hidden="0"/>
    </xf>
    <xf numFmtId="0" fontId="44" fillId="0" borderId="0" applyAlignment="1" applyProtection="1" pivotButton="0" quotePrefix="0" xfId="0">
      <alignment horizontal="right"/>
      <protection locked="0" hidden="0"/>
    </xf>
    <xf numFmtId="42" fontId="44" fillId="0" borderId="0" applyProtection="1" pivotButton="0" quotePrefix="0" xfId="0">
      <protection locked="0" hidden="0"/>
    </xf>
    <xf numFmtId="0" fontId="41" fillId="0" borderId="0" applyProtection="1" pivotButton="0" quotePrefix="0" xfId="0">
      <protection locked="0" hidden="0"/>
    </xf>
    <xf numFmtId="0" fontId="45" fillId="0" borderId="0" applyProtection="1" pivotButton="0" quotePrefix="0" xfId="0">
      <protection locked="0" hidden="0"/>
    </xf>
    <xf numFmtId="0" fontId="36" fillId="0" borderId="0" applyAlignment="1" applyProtection="1" pivotButton="0" quotePrefix="0" xfId="0">
      <alignment horizontal="right" wrapText="1"/>
      <protection locked="0" hidden="0"/>
    </xf>
    <xf numFmtId="0" fontId="44" fillId="0" borderId="0" applyAlignment="1" applyProtection="1" pivotButton="0" quotePrefix="0" xfId="0">
      <alignment horizontal="center" wrapText="1"/>
      <protection locked="0" hidden="0"/>
    </xf>
    <xf numFmtId="0" fontId="36" fillId="0" borderId="29" applyAlignment="1" applyProtection="1" pivotButton="0" quotePrefix="0" xfId="0">
      <alignment horizontal="left"/>
      <protection locked="0" hidden="0"/>
    </xf>
    <xf numFmtId="0" fontId="36" fillId="0" borderId="29" applyProtection="1" pivotButton="0" quotePrefix="0" xfId="0">
      <protection locked="0" hidden="0"/>
    </xf>
    <xf numFmtId="164" fontId="36" fillId="0" borderId="29" applyProtection="1" pivotButton="0" quotePrefix="0" xfId="0">
      <protection locked="0" hidden="0"/>
    </xf>
    <xf numFmtId="165" fontId="36" fillId="0" borderId="0" applyProtection="1" pivotButton="0" quotePrefix="0" xfId="0">
      <protection locked="0" hidden="0"/>
    </xf>
    <xf numFmtId="0" fontId="36" fillId="0" borderId="0" pivotButton="0" quotePrefix="0" xfId="0"/>
    <xf numFmtId="0" fontId="36" fillId="0" borderId="0" applyAlignment="1" pivotButton="0" quotePrefix="0" xfId="0">
      <alignment horizontal="right"/>
    </xf>
    <xf numFmtId="165" fontId="36" fillId="0" borderId="0" pivotButton="0" quotePrefix="0" xfId="0"/>
    <xf numFmtId="0" fontId="36" fillId="0" borderId="0" applyAlignment="1" applyProtection="1" pivotButton="0" quotePrefix="0" xfId="0">
      <alignment vertical="justify"/>
      <protection locked="0" hidden="0"/>
    </xf>
    <xf numFmtId="0" fontId="36" fillId="0" borderId="0" applyAlignment="1" applyProtection="1" pivotButton="0" quotePrefix="0" xfId="0">
      <alignment horizontal="left" vertical="justify"/>
      <protection locked="0" hidden="0"/>
    </xf>
    <xf numFmtId="0" fontId="36" fillId="0" borderId="2" applyProtection="1" pivotButton="0" quotePrefix="0" xfId="0">
      <protection locked="0" hidden="0"/>
    </xf>
    <xf numFmtId="0" fontId="46" fillId="0" borderId="0" applyProtection="1" pivotButton="0" quotePrefix="0" xfId="0">
      <protection locked="0" hidden="0"/>
    </xf>
    <xf numFmtId="0" fontId="36" fillId="11" borderId="0" applyAlignment="1" applyProtection="1" pivotButton="0" quotePrefix="0" xfId="0">
      <alignment horizontal="left" vertical="center"/>
      <protection locked="0" hidden="0"/>
    </xf>
    <xf numFmtId="0" fontId="36" fillId="3" borderId="0" applyAlignment="1" pivotButton="0" quotePrefix="0" xfId="0">
      <alignment horizontal="left" vertical="center" wrapText="1"/>
    </xf>
    <xf numFmtId="0" fontId="36" fillId="0" borderId="0" applyAlignment="1" pivotButton="0" quotePrefix="0" xfId="0">
      <alignment horizontal="left" vertical="center"/>
    </xf>
    <xf numFmtId="0" fontId="36" fillId="11" borderId="0" applyAlignment="1" pivotButton="0" quotePrefix="0" xfId="0">
      <alignment horizontal="left" vertical="center" wrapText="1"/>
    </xf>
    <xf numFmtId="0" fontId="36" fillId="11" borderId="0" applyAlignment="1" pivotButton="0" quotePrefix="0" xfId="0">
      <alignment horizontal="left" vertical="center"/>
    </xf>
    <xf numFmtId="0" fontId="36" fillId="0" borderId="0" applyAlignment="1" pivotButton="0" quotePrefix="0" xfId="0">
      <alignment vertical="center"/>
    </xf>
    <xf numFmtId="0" fontId="36" fillId="0" borderId="0" applyAlignment="1" pivotButton="0" quotePrefix="0" xfId="0">
      <alignment horizontal="left" vertical="top"/>
    </xf>
    <xf numFmtId="0" fontId="36" fillId="0" borderId="0" applyAlignment="1" pivotButton="0" quotePrefix="0" xfId="0">
      <alignment horizontal="left"/>
    </xf>
    <xf numFmtId="12" fontId="36" fillId="0" borderId="0" applyAlignment="1" applyProtection="1" pivotButton="0" quotePrefix="0" xfId="0">
      <alignment horizontal="center" vertical="center" wrapText="1"/>
      <protection locked="0" hidden="0"/>
    </xf>
    <xf numFmtId="12" fontId="36" fillId="0" borderId="0" applyAlignment="1" applyProtection="1" pivotButton="0" quotePrefix="0" xfId="0">
      <alignment vertical="top" wrapText="1"/>
      <protection locked="0" hidden="0"/>
    </xf>
    <xf numFmtId="0" fontId="1" fillId="2" borderId="15" pivotButton="0" quotePrefix="0" xfId="0"/>
    <xf numFmtId="0" fontId="48" fillId="0" borderId="0" applyProtection="1" pivotButton="0" quotePrefix="0" xfId="2">
      <protection locked="0" hidden="0"/>
    </xf>
    <xf numFmtId="49" fontId="36" fillId="0" borderId="0" applyAlignment="1" applyProtection="1" pivotButton="0" quotePrefix="0" xfId="0">
      <alignment wrapText="1"/>
      <protection locked="0" hidden="0"/>
    </xf>
    <xf numFmtId="49" fontId="36" fillId="0" borderId="2" applyAlignment="1" applyProtection="1" pivotButton="0" quotePrefix="0" xfId="0">
      <alignment wrapText="1"/>
      <protection locked="0" hidden="0"/>
    </xf>
    <xf numFmtId="49" fontId="36" fillId="0" borderId="0" applyAlignment="1" applyProtection="1" pivotButton="0" quotePrefix="0" xfId="0">
      <alignment horizontal="right" wrapText="1"/>
      <protection locked="0" hidden="0"/>
    </xf>
    <xf numFmtId="49" fontId="36" fillId="0" borderId="0" applyAlignment="1" applyProtection="1" pivotButton="0" quotePrefix="0" xfId="0">
      <alignment horizontal="left" wrapText="1"/>
      <protection locked="0" hidden="0"/>
    </xf>
    <xf numFmtId="0" fontId="49" fillId="0" borderId="0" pivotButton="0" quotePrefix="0" xfId="2"/>
    <xf numFmtId="0" fontId="36" fillId="0" borderId="2" pivotButton="0" quotePrefix="0" xfId="0"/>
    <xf numFmtId="12" fontId="1" fillId="2" borderId="16" applyAlignment="1" pivotButton="0" quotePrefix="0" xfId="0">
      <alignment horizontal="center"/>
    </xf>
    <xf numFmtId="1" fontId="1" fillId="2" borderId="16" applyAlignment="1" pivotButton="0" quotePrefix="0" xfId="0">
      <alignment horizontal="center"/>
    </xf>
    <xf numFmtId="165" fontId="36" fillId="0" borderId="0" applyAlignment="1" applyProtection="1" pivotButton="0" quotePrefix="0" xfId="0">
      <alignment horizontal="right"/>
      <protection locked="0" hidden="0"/>
    </xf>
    <xf numFmtId="0" fontId="1" fillId="0" borderId="30" applyAlignment="1" pivotButton="0" quotePrefix="0" xfId="0">
      <alignment horizontal="left" indent="1"/>
    </xf>
    <xf numFmtId="0" fontId="1" fillId="0" borderId="17" applyAlignment="1" pivotButton="0" quotePrefix="0" xfId="0">
      <alignment horizontal="left"/>
    </xf>
    <xf numFmtId="165" fontId="0" fillId="10" borderId="0" applyAlignment="1" pivotButton="0" quotePrefix="0" xfId="0">
      <alignment horizontal="center"/>
    </xf>
    <xf numFmtId="0" fontId="1" fillId="0" borderId="11" applyAlignment="1" pivotButton="0" quotePrefix="0" xfId="0">
      <alignment horizontal="left"/>
    </xf>
    <xf numFmtId="0" fontId="1" fillId="2" borderId="8" applyAlignment="1" pivotButton="0" quotePrefix="0" xfId="0">
      <alignment horizontal="left" indent="1"/>
    </xf>
    <xf numFmtId="0" fontId="2" fillId="0" borderId="0" pivotButton="0" quotePrefix="0" xfId="2"/>
    <xf numFmtId="165" fontId="0" fillId="8" borderId="0" applyAlignment="1" pivotButton="0" quotePrefix="0" xfId="0">
      <alignment horizontal="center"/>
    </xf>
    <xf numFmtId="1" fontId="36" fillId="0" borderId="0" applyAlignment="1" applyProtection="1" pivotButton="0" quotePrefix="0" xfId="0">
      <alignment horizontal="center" vertical="center"/>
      <protection locked="0" hidden="0"/>
    </xf>
    <xf numFmtId="14" fontId="36" fillId="0" borderId="0" applyAlignment="1" applyProtection="1" pivotButton="0" quotePrefix="0" xfId="0">
      <alignment horizontal="center" vertical="center" wrapText="1"/>
      <protection locked="0" hidden="0"/>
    </xf>
    <xf numFmtId="164" fontId="36" fillId="0" borderId="0" applyAlignment="1" applyProtection="1" pivotButton="0" quotePrefix="0" xfId="0">
      <alignment horizontal="center" vertical="center"/>
      <protection locked="0" hidden="0"/>
    </xf>
    <xf numFmtId="0" fontId="36" fillId="0" borderId="0" applyAlignment="1" applyProtection="1" pivotButton="0" quotePrefix="0" xfId="0">
      <alignment vertical="top"/>
      <protection locked="0" hidden="0"/>
    </xf>
    <xf numFmtId="0" fontId="40" fillId="0" borderId="0" applyAlignment="1" applyProtection="1" pivotButton="0" quotePrefix="0" xfId="0">
      <alignment horizontal="center" vertical="top"/>
      <protection locked="0" hidden="0"/>
    </xf>
    <xf numFmtId="0" fontId="36" fillId="0" borderId="0" applyAlignment="1" applyProtection="1" pivotButton="0" quotePrefix="0" xfId="0">
      <alignment horizontal="left" vertical="top" indent="1"/>
      <protection locked="0" hidden="0"/>
    </xf>
    <xf numFmtId="0" fontId="41" fillId="0" borderId="0" applyAlignment="1" pivotButton="0" quotePrefix="0" xfId="0">
      <alignment vertical="center"/>
    </xf>
    <xf numFmtId="0" fontId="40" fillId="0" borderId="0" applyProtection="1" pivotButton="0" quotePrefix="0" xfId="0">
      <protection locked="0" hidden="0"/>
    </xf>
    <xf numFmtId="164" fontId="36" fillId="0" borderId="0" applyProtection="1" pivotButton="0" quotePrefix="0" xfId="0">
      <protection locked="0" hidden="0"/>
    </xf>
    <xf numFmtId="165" fontId="36" fillId="0" borderId="0" pivotButton="0" quotePrefix="0" xfId="1"/>
    <xf numFmtId="14" fontId="4" fillId="0" borderId="0" pivotButton="0" quotePrefix="0" xfId="0"/>
    <xf numFmtId="42" fontId="36" fillId="0" borderId="0" applyAlignment="1" applyProtection="1" pivotButton="0" quotePrefix="0" xfId="0">
      <alignment horizontal="right" vertical="top"/>
      <protection locked="0" hidden="0"/>
    </xf>
    <xf numFmtId="0" fontId="4" fillId="0" borderId="36" applyAlignment="1" pivotButton="0" quotePrefix="0" xfId="0">
      <alignment horizontal="center"/>
    </xf>
    <xf numFmtId="0" fontId="4" fillId="0" borderId="37" applyAlignment="1" pivotButton="0" quotePrefix="0" xfId="0">
      <alignment horizontal="center"/>
    </xf>
    <xf numFmtId="0" fontId="4" fillId="0" borderId="14" applyAlignment="1" pivotButton="0" quotePrefix="0" xfId="0">
      <alignment horizontal="center"/>
    </xf>
    <xf numFmtId="14" fontId="4" fillId="0" borderId="15" applyAlignment="1" pivotButton="0" quotePrefix="0" xfId="0">
      <alignment horizontal="center"/>
    </xf>
    <xf numFmtId="0" fontId="32" fillId="2" borderId="11" applyAlignment="1" pivotButton="0" quotePrefix="0" xfId="0">
      <alignment horizontal="left"/>
    </xf>
    <xf numFmtId="0" fontId="1" fillId="0" borderId="9" applyAlignment="1" pivotButton="0" quotePrefix="0" xfId="0">
      <alignment horizontal="left"/>
    </xf>
    <xf numFmtId="0" fontId="1" fillId="0" borderId="44" applyAlignment="1" pivotButton="0" quotePrefix="0" xfId="0">
      <alignment horizontal="left"/>
    </xf>
    <xf numFmtId="0" fontId="51" fillId="2" borderId="8" pivotButton="0" quotePrefix="0" xfId="0"/>
    <xf numFmtId="0" fontId="1" fillId="2" borderId="42" applyAlignment="1" pivotButton="0" quotePrefix="0" xfId="0">
      <alignment horizontal="center"/>
    </xf>
    <xf numFmtId="0" fontId="1" fillId="2" borderId="43" applyAlignment="1" pivotButton="0" quotePrefix="0" xfId="0">
      <alignment horizontal="center"/>
    </xf>
    <xf numFmtId="0" fontId="4" fillId="0" borderId="0" pivotButton="0" quotePrefix="0" xfId="0"/>
    <xf numFmtId="0" fontId="24" fillId="0" borderId="0" applyProtection="1" pivotButton="0" quotePrefix="0" xfId="0">
      <protection locked="0" hidden="0"/>
    </xf>
    <xf numFmtId="0" fontId="29" fillId="0" borderId="0" applyProtection="1" pivotButton="0" quotePrefix="0" xfId="0">
      <protection locked="0" hidden="0"/>
    </xf>
    <xf numFmtId="0" fontId="0" fillId="0" borderId="1" applyAlignment="1" pivotButton="0" quotePrefix="0" xfId="0">
      <alignment horizontal="center"/>
    </xf>
    <xf numFmtId="0" fontId="0" fillId="0" borderId="19" applyAlignment="1" pivotButton="0" quotePrefix="0" xfId="0">
      <alignment horizontal="center"/>
    </xf>
    <xf numFmtId="0" fontId="0" fillId="4" borderId="17" applyAlignment="1" pivotButton="0" quotePrefix="0" xfId="0">
      <alignment horizontal="center"/>
    </xf>
    <xf numFmtId="0" fontId="0" fillId="4" borderId="20" applyAlignment="1" pivotButton="0" quotePrefix="0" xfId="0">
      <alignment horizontal="center"/>
    </xf>
    <xf numFmtId="0" fontId="12" fillId="0" borderId="17" applyAlignment="1" pivotButton="0" quotePrefix="0" xfId="0">
      <alignment horizontal="center"/>
    </xf>
    <xf numFmtId="0" fontId="36" fillId="0" borderId="0" applyAlignment="1" applyProtection="1" pivotButton="0" quotePrefix="0" xfId="0">
      <alignment horizontal="left"/>
      <protection locked="0" hidden="0"/>
    </xf>
    <xf numFmtId="0" fontId="36" fillId="0" borderId="0" applyAlignment="1" applyProtection="1" pivotButton="0" quotePrefix="0" xfId="0">
      <alignment horizontal="center"/>
      <protection locked="0" hidden="0"/>
    </xf>
    <xf numFmtId="0" fontId="36" fillId="0" borderId="0" applyAlignment="1" pivotButton="0" quotePrefix="0" xfId="0">
      <alignment horizontal="center"/>
    </xf>
    <xf numFmtId="0" fontId="36" fillId="0" borderId="0" applyAlignment="1" pivotButton="0" quotePrefix="0" xfId="0">
      <alignment wrapText="1"/>
    </xf>
    <xf numFmtId="0" fontId="36" fillId="0" borderId="0" applyAlignment="1" applyProtection="1" pivotButton="0" quotePrefix="0" xfId="0">
      <alignment horizontal="center" vertical="center" wrapText="1"/>
      <protection locked="0" hidden="0"/>
    </xf>
    <xf numFmtId="0" fontId="36" fillId="0" borderId="0" applyAlignment="1" pivotButton="0" quotePrefix="0" xfId="0">
      <alignment horizontal="left" wrapText="1" indent="1"/>
    </xf>
    <xf numFmtId="0" fontId="36" fillId="0" borderId="0" applyAlignment="1" pivotButton="0" quotePrefix="0" xfId="0">
      <alignment horizontal="center" wrapText="1"/>
    </xf>
    <xf numFmtId="0" fontId="36" fillId="0" borderId="0" applyAlignment="1" applyProtection="1" pivotButton="0" quotePrefix="0" xfId="0">
      <alignment horizontal="left" vertical="top" wrapText="1" indent="1"/>
      <protection locked="0" hidden="0"/>
    </xf>
    <xf numFmtId="0" fontId="37" fillId="0" borderId="0" applyAlignment="1" applyProtection="1" pivotButton="0" quotePrefix="0" xfId="0">
      <alignment horizontal="center"/>
      <protection locked="0" hidden="0"/>
    </xf>
    <xf numFmtId="0" fontId="38" fillId="0" borderId="0" applyAlignment="1" applyProtection="1" pivotButton="0" quotePrefix="0" xfId="0">
      <alignment horizontal="center"/>
      <protection locked="0" hidden="0"/>
    </xf>
    <xf numFmtId="0" fontId="36" fillId="0" borderId="0" applyAlignment="1" pivotButton="0" quotePrefix="0" xfId="0">
      <alignment horizontal="left" vertical="top" wrapText="1"/>
    </xf>
    <xf numFmtId="0" fontId="42" fillId="0" borderId="0" applyAlignment="1" applyProtection="1" pivotButton="0" quotePrefix="0" xfId="0">
      <alignment horizontal="center" vertical="center"/>
      <protection locked="0" hidden="0"/>
    </xf>
    <xf numFmtId="0" fontId="36" fillId="0" borderId="0" applyAlignment="1" applyProtection="1" pivotButton="0" quotePrefix="0" xfId="0">
      <alignment wrapText="1"/>
      <protection locked="0" hidden="0"/>
    </xf>
    <xf numFmtId="0" fontId="4" fillId="0" borderId="0" applyAlignment="1" pivotButton="0" quotePrefix="0" xfId="0">
      <alignment horizontal="left"/>
    </xf>
    <xf numFmtId="0" fontId="4" fillId="0" borderId="11" applyAlignment="1" pivotButton="0" quotePrefix="0" xfId="0">
      <alignment horizontal="center"/>
    </xf>
    <xf numFmtId="0" fontId="4" fillId="0" borderId="15" applyAlignment="1" pivotButton="0" quotePrefix="0" xfId="0">
      <alignment horizontal="center"/>
    </xf>
    <xf numFmtId="14" fontId="4" fillId="0" borderId="11" applyAlignment="1" pivotButton="0" quotePrefix="0" xfId="0">
      <alignment horizontal="center"/>
    </xf>
    <xf numFmtId="0" fontId="0" fillId="0" borderId="11" applyAlignment="1" pivotButton="0" quotePrefix="0" xfId="0">
      <alignment horizontal="center"/>
    </xf>
    <xf numFmtId="0" fontId="0" fillId="0" borderId="15" applyAlignment="1" pivotButton="0" quotePrefix="0" xfId="0">
      <alignment horizontal="center"/>
    </xf>
    <xf numFmtId="14" fontId="4" fillId="0" borderId="8" applyAlignment="1" pivotButton="0" quotePrefix="0" xfId="0">
      <alignment horizontal="center"/>
    </xf>
    <xf numFmtId="0" fontId="4" fillId="0" borderId="8" applyAlignment="1" pivotButton="0" quotePrefix="0" xfId="0">
      <alignment horizontal="center"/>
    </xf>
    <xf numFmtId="0" fontId="13" fillId="0" borderId="0" applyAlignment="1" applyProtection="1" pivotButton="0" quotePrefix="0" xfId="0">
      <alignment horizontal="left"/>
      <protection locked="0" hidden="0"/>
    </xf>
    <xf numFmtId="0" fontId="17" fillId="0" borderId="0" applyAlignment="1" applyProtection="1" pivotButton="0" quotePrefix="0" xfId="0">
      <alignment horizontal="center"/>
      <protection locked="0" hidden="0"/>
    </xf>
    <xf numFmtId="0" fontId="13" fillId="0" borderId="0" applyAlignment="1" pivotButton="0" quotePrefix="0" xfId="0">
      <alignment wrapText="1"/>
    </xf>
    <xf numFmtId="0" fontId="13" fillId="0" borderId="0" applyAlignment="1" applyProtection="1" pivotButton="0" quotePrefix="0" xfId="0">
      <alignment horizontal="center"/>
      <protection locked="0" hidden="0"/>
    </xf>
    <xf numFmtId="0" fontId="13" fillId="0" borderId="0" applyAlignment="1" pivotButton="0" quotePrefix="0" xfId="0">
      <alignment horizontal="center"/>
    </xf>
    <xf numFmtId="0" fontId="24" fillId="0" borderId="0" applyAlignment="1" applyProtection="1" pivotButton="0" quotePrefix="0" xfId="0">
      <alignment wrapText="1"/>
      <protection locked="0" hidden="0"/>
    </xf>
    <xf numFmtId="0" fontId="21" fillId="0" borderId="0" applyAlignment="1" applyProtection="1" pivotButton="0" quotePrefix="0" xfId="0">
      <alignment horizontal="center"/>
      <protection locked="0" hidden="0"/>
    </xf>
    <xf numFmtId="0" fontId="10" fillId="0" borderId="0" applyAlignment="1" applyProtection="1" pivotButton="0" quotePrefix="0" xfId="0">
      <alignment horizontal="center"/>
      <protection locked="0" hidden="0"/>
    </xf>
    <xf numFmtId="0" fontId="13" fillId="0" borderId="0" applyAlignment="1" applyProtection="1" pivotButton="0" quotePrefix="0" xfId="0">
      <alignment horizontal="right" vertical="center"/>
      <protection locked="0" hidden="0"/>
    </xf>
    <xf numFmtId="0" fontId="13" fillId="0" borderId="0" applyAlignment="1" pivotButton="0" quotePrefix="0" xfId="0">
      <alignment horizontal="right" vertical="center"/>
    </xf>
    <xf numFmtId="0" fontId="13" fillId="0" borderId="0" applyAlignment="1" applyProtection="1" pivotButton="0" quotePrefix="0" xfId="0">
      <alignment vertical="center" wrapText="1"/>
      <protection locked="0" hidden="0"/>
    </xf>
    <xf numFmtId="0" fontId="13" fillId="0" borderId="0" applyAlignment="1" pivotButton="0" quotePrefix="0" xfId="0">
      <alignment horizontal="left" vertical="center" wrapText="1"/>
    </xf>
    <xf numFmtId="0" fontId="13" fillId="0" borderId="0" applyAlignment="1" applyProtection="1" pivotButton="0" quotePrefix="0" xfId="0">
      <alignment vertical="center"/>
      <protection locked="0" hidden="0"/>
    </xf>
    <xf numFmtId="0" fontId="0" fillId="0" borderId="0" applyAlignment="1" pivotButton="0" quotePrefix="0" xfId="0">
      <alignment horizontal="center" wrapText="1"/>
    </xf>
    <xf numFmtId="0" fontId="1" fillId="0" borderId="0" applyAlignment="1" pivotButton="0" quotePrefix="0" xfId="0">
      <alignment horizontal="center"/>
    </xf>
    <xf numFmtId="0" fontId="52" fillId="2" borderId="0" pivotButton="0" quotePrefix="0" xfId="0"/>
    <xf numFmtId="0" fontId="52" fillId="2" borderId="11" pivotButton="0" quotePrefix="0" xfId="0"/>
    <xf numFmtId="0" fontId="2" fillId="2" borderId="35" pivotButton="0" quotePrefix="0" xfId="2"/>
    <xf numFmtId="0" fontId="0" fillId="0" borderId="0" applyAlignment="1" pivotButton="0" quotePrefix="0" xfId="0">
      <alignment horizontal="right"/>
    </xf>
    <xf numFmtId="165" fontId="0" fillId="0" borderId="0" pivotButton="0" quotePrefix="0" xfId="1"/>
    <xf numFmtId="0" fontId="52" fillId="2" borderId="15" pivotButton="0" quotePrefix="0" xfId="0"/>
    <xf numFmtId="165" fontId="1" fillId="11" borderId="11" applyAlignment="1" pivotButton="0" quotePrefix="0" xfId="1">
      <alignment horizontal="center"/>
    </xf>
    <xf numFmtId="0" fontId="0" fillId="12" borderId="0" applyAlignment="1" pivotButton="0" quotePrefix="0" xfId="0">
      <alignment horizontal="center"/>
    </xf>
    <xf numFmtId="167" fontId="54" fillId="13" borderId="11" applyAlignment="1" pivotButton="0" quotePrefix="0" xfId="1">
      <alignment horizontal="center"/>
    </xf>
    <xf numFmtId="0" fontId="40" fillId="0" borderId="0" applyAlignment="1" pivotButton="0" quotePrefix="0" xfId="0">
      <alignment horizontal="center"/>
    </xf>
    <xf numFmtId="3" fontId="0" fillId="3" borderId="11" pivotButton="0" quotePrefix="0" xfId="0"/>
    <xf numFmtId="0" fontId="12" fillId="0" borderId="17" applyAlignment="1" pivotButton="0" quotePrefix="0" xfId="0">
      <alignment horizontal="center"/>
    </xf>
    <xf numFmtId="0" fontId="0" fillId="0" borderId="12" applyAlignment="1" pivotButton="0" quotePrefix="0" xfId="0">
      <alignment horizontal="center"/>
    </xf>
    <xf numFmtId="0" fontId="0" fillId="0" borderId="20" applyAlignment="1" pivotButton="0" quotePrefix="0" xfId="0">
      <alignment horizontal="center"/>
    </xf>
    <xf numFmtId="0" fontId="11" fillId="0" borderId="1" applyAlignment="1" pivotButton="0" quotePrefix="0" xfId="0">
      <alignment horizontal="center" wrapText="1"/>
    </xf>
    <xf numFmtId="0" fontId="11" fillId="0" borderId="2" applyAlignment="1" pivotButton="0" quotePrefix="0" xfId="0">
      <alignment horizontal="center" wrapText="1"/>
    </xf>
    <xf numFmtId="0" fontId="11" fillId="0" borderId="12" applyAlignment="1" pivotButton="0" quotePrefix="0" xfId="0">
      <alignment horizontal="center" wrapText="1"/>
    </xf>
    <xf numFmtId="0" fontId="11" fillId="0" borderId="20" applyAlignment="1" pivotButton="0" quotePrefix="0" xfId="0">
      <alignment horizontal="center" wrapText="1"/>
    </xf>
    <xf numFmtId="0" fontId="53" fillId="11" borderId="11" applyAlignment="1" pivotButton="0" quotePrefix="0" xfId="0">
      <alignment horizontal="center" vertical="center"/>
    </xf>
    <xf numFmtId="0" fontId="1" fillId="11" borderId="11" applyAlignment="1" pivotButton="0" quotePrefix="0" xfId="0">
      <alignment horizontal="center"/>
    </xf>
    <xf numFmtId="0" fontId="0" fillId="0" borderId="1" applyAlignment="1" pivotButton="0" quotePrefix="0" xfId="0">
      <alignment horizontal="center"/>
    </xf>
    <xf numFmtId="0" fontId="0" fillId="0" borderId="19" applyAlignment="1" pivotButton="0" quotePrefix="0" xfId="0">
      <alignment horizontal="center"/>
    </xf>
    <xf numFmtId="0" fontId="0" fillId="4" borderId="17" applyAlignment="1" pivotButton="0" quotePrefix="0" xfId="0">
      <alignment horizontal="center"/>
    </xf>
    <xf numFmtId="0" fontId="0" fillId="4" borderId="20" applyAlignment="1" pivotButton="0" quotePrefix="0" xfId="0">
      <alignment horizontal="center"/>
    </xf>
    <xf numFmtId="0" fontId="12" fillId="0" borderId="3" applyAlignment="1" pivotButton="0" quotePrefix="0" xfId="0">
      <alignment horizontal="center"/>
    </xf>
    <xf numFmtId="2" fontId="12" fillId="0" borderId="17" applyAlignment="1" pivotButton="0" quotePrefix="0" xfId="0">
      <alignment horizontal="center"/>
    </xf>
    <xf numFmtId="0" fontId="0" fillId="0" borderId="12" pivotButton="0" quotePrefix="0" xfId="0"/>
    <xf numFmtId="0" fontId="0" fillId="0" borderId="20" pivotButton="0" quotePrefix="0" xfId="0"/>
    <xf numFmtId="0" fontId="36" fillId="0" borderId="0" applyAlignment="1" applyProtection="1" pivotButton="0" quotePrefix="0" xfId="0">
      <alignment horizontal="left" wrapText="1"/>
      <protection locked="0" hidden="0"/>
    </xf>
    <xf numFmtId="0" fontId="36" fillId="0" borderId="0" applyAlignment="1" applyProtection="1" pivotButton="0" quotePrefix="0" xfId="0">
      <alignment horizontal="center"/>
      <protection locked="0" hidden="0"/>
    </xf>
    <xf numFmtId="0" fontId="36" fillId="0" borderId="0" applyAlignment="1" pivotButton="0" quotePrefix="0" xfId="0">
      <alignment horizontal="center"/>
    </xf>
    <xf numFmtId="0" fontId="36" fillId="0" borderId="0" applyAlignment="1" applyProtection="1" pivotButton="0" quotePrefix="0" xfId="0">
      <alignment horizontal="center" vertical="center" wrapText="1"/>
      <protection locked="0" hidden="0"/>
    </xf>
    <xf numFmtId="0" fontId="36" fillId="0" borderId="0" applyAlignment="1" pivotButton="0" quotePrefix="0" xfId="0">
      <alignment horizontal="center" vertical="center" wrapText="1"/>
    </xf>
    <xf numFmtId="0" fontId="36" fillId="0" borderId="0" applyAlignment="1" pivotButton="0" quotePrefix="0" xfId="0">
      <alignment horizontal="center" wrapText="1"/>
    </xf>
    <xf numFmtId="0" fontId="36" fillId="0" borderId="0" applyProtection="1" pivotButton="0" quotePrefix="0" xfId="0">
      <protection locked="0" hidden="0"/>
    </xf>
    <xf numFmtId="0" fontId="36" fillId="0" borderId="0" applyAlignment="1" pivotButton="0" quotePrefix="0" xfId="0">
      <alignment vertical="center" wrapText="1"/>
    </xf>
    <xf numFmtId="0" fontId="36" fillId="0" borderId="0" applyAlignment="1" pivotButton="0" quotePrefix="0" xfId="0">
      <alignment wrapText="1"/>
    </xf>
    <xf numFmtId="0" fontId="36" fillId="0" borderId="0" pivotButton="0" quotePrefix="0" xfId="0"/>
    <xf numFmtId="0" fontId="36" fillId="0" borderId="0" applyAlignment="1" applyProtection="1" pivotButton="0" quotePrefix="0" xfId="0">
      <alignment horizontal="left" vertical="top" wrapText="1"/>
      <protection locked="0" hidden="0"/>
    </xf>
    <xf numFmtId="0" fontId="36" fillId="0" borderId="0" applyAlignment="1" pivotButton="0" quotePrefix="0" xfId="0">
      <alignment horizontal="left" vertical="top" wrapText="1"/>
    </xf>
    <xf numFmtId="0" fontId="38" fillId="0" borderId="0" applyAlignment="1" applyProtection="1" pivotButton="0" quotePrefix="0" xfId="0">
      <alignment horizontal="left" vertical="center" wrapText="1"/>
      <protection locked="0" hidden="0"/>
    </xf>
    <xf numFmtId="0" fontId="36" fillId="0" borderId="0" applyAlignment="1" applyProtection="1" pivotButton="0" quotePrefix="0" xfId="0">
      <alignment horizontal="left" vertical="top" wrapText="1" indent="1"/>
      <protection locked="0" hidden="0"/>
    </xf>
    <xf numFmtId="0" fontId="37" fillId="0" borderId="0" applyAlignment="1" applyProtection="1" pivotButton="0" quotePrefix="0" xfId="0">
      <alignment horizontal="center"/>
      <protection locked="0" hidden="0"/>
    </xf>
    <xf numFmtId="0" fontId="38" fillId="0" borderId="0" applyAlignment="1" applyProtection="1" pivotButton="0" quotePrefix="0" xfId="0">
      <alignment horizontal="center"/>
      <protection locked="0" hidden="0"/>
    </xf>
    <xf numFmtId="0" fontId="42" fillId="0" borderId="0" applyAlignment="1" applyProtection="1" pivotButton="0" quotePrefix="0" xfId="0">
      <alignment horizontal="center" vertical="center"/>
      <protection locked="0" hidden="0"/>
    </xf>
    <xf numFmtId="0" fontId="42" fillId="0" borderId="0" applyAlignment="1" pivotButton="0" quotePrefix="0" xfId="0">
      <alignment horizontal="center" vertical="center"/>
    </xf>
    <xf numFmtId="169" fontId="42" fillId="0" borderId="0" applyAlignment="1" applyProtection="1" pivotButton="0" quotePrefix="0" xfId="1">
      <alignment horizontal="center" vertical="center" wrapText="1"/>
      <protection locked="0" hidden="0"/>
    </xf>
    <xf numFmtId="0" fontId="42" fillId="0" borderId="0" applyAlignment="1" pivotButton="0" quotePrefix="0" xfId="0">
      <alignment horizontal="center" vertical="center" wrapText="1"/>
    </xf>
    <xf numFmtId="0" fontId="36" fillId="0" borderId="0" applyAlignment="1" applyProtection="1" pivotButton="0" quotePrefix="0" xfId="0">
      <alignment horizontal="center" vertical="center"/>
      <protection locked="0" hidden="0"/>
    </xf>
    <xf numFmtId="0" fontId="36" fillId="0" borderId="0" applyAlignment="1" pivotButton="0" quotePrefix="0" xfId="0">
      <alignment horizontal="center" vertical="center"/>
    </xf>
    <xf numFmtId="0" fontId="36" fillId="0" borderId="0" applyAlignment="1" applyProtection="1" pivotButton="0" quotePrefix="0" xfId="0">
      <alignment horizontal="left"/>
      <protection locked="0" hidden="0"/>
    </xf>
    <xf numFmtId="0" fontId="38" fillId="0" borderId="0" applyAlignment="1" applyProtection="1" pivotButton="0" quotePrefix="0" xfId="0">
      <alignment horizontal="left" wrapText="1"/>
      <protection locked="0" hidden="0"/>
    </xf>
    <xf numFmtId="0" fontId="41" fillId="0" borderId="0" applyAlignment="1" applyProtection="1" pivotButton="0" quotePrefix="0" xfId="0">
      <alignment vertical="justify" wrapText="1"/>
      <protection locked="0" hidden="0"/>
    </xf>
    <xf numFmtId="0" fontId="36" fillId="0" borderId="0" applyAlignment="1" applyProtection="1" pivotButton="0" quotePrefix="0" xfId="0">
      <alignment wrapText="1"/>
      <protection locked="0" hidden="0"/>
    </xf>
    <xf numFmtId="0" fontId="36" fillId="2" borderId="0" applyAlignment="1" applyProtection="1" pivotButton="0" quotePrefix="0" xfId="0">
      <alignment horizontal="left" wrapText="1"/>
      <protection locked="0" hidden="0"/>
    </xf>
    <xf numFmtId="0" fontId="36" fillId="2" borderId="0" applyAlignment="1" pivotButton="0" quotePrefix="0" xfId="0">
      <alignment horizontal="left" wrapText="1"/>
    </xf>
    <xf numFmtId="0" fontId="36" fillId="0" borderId="0" applyAlignment="1" pivotButton="0" quotePrefix="0" xfId="0">
      <alignment horizontal="left" wrapText="1"/>
    </xf>
    <xf numFmtId="0" fontId="36" fillId="0" borderId="2" applyAlignment="1" applyProtection="1" pivotButton="0" quotePrefix="0" xfId="0">
      <alignment horizontal="left" wrapText="1"/>
      <protection locked="0" hidden="0"/>
    </xf>
    <xf numFmtId="0" fontId="36" fillId="0" borderId="2" applyAlignment="1" pivotButton="0" quotePrefix="0" xfId="0">
      <alignment horizontal="left" wrapText="1"/>
    </xf>
    <xf numFmtId="0" fontId="4" fillId="0" borderId="11" applyAlignment="1" pivotButton="0" quotePrefix="0" xfId="0">
      <alignment horizontal="center"/>
    </xf>
    <xf numFmtId="0" fontId="0" fillId="0" borderId="11" applyAlignment="1" pivotButton="0" quotePrefix="0" xfId="0">
      <alignment horizontal="center"/>
    </xf>
    <xf numFmtId="0" fontId="0" fillId="0" borderId="35" applyAlignment="1" pivotButton="0" quotePrefix="0" xfId="0">
      <alignment horizontal="center"/>
    </xf>
    <xf numFmtId="14" fontId="4" fillId="0" borderId="8" applyAlignment="1" pivotButton="0" quotePrefix="0" xfId="0">
      <alignment horizontal="center"/>
    </xf>
    <xf numFmtId="0" fontId="4" fillId="0" borderId="8" applyAlignment="1" pivotButton="0" quotePrefix="0" xfId="0">
      <alignment horizontal="center"/>
    </xf>
    <xf numFmtId="0" fontId="4" fillId="0" borderId="42" applyAlignment="1" pivotButton="0" quotePrefix="0" xfId="0">
      <alignment horizontal="center"/>
    </xf>
    <xf numFmtId="14" fontId="4" fillId="0" borderId="11" applyAlignment="1" pivotButton="0" quotePrefix="0" xfId="0">
      <alignment horizontal="center"/>
    </xf>
    <xf numFmtId="0" fontId="4" fillId="0" borderId="35" applyAlignment="1" pivotButton="0" quotePrefix="0" xfId="0">
      <alignment horizontal="center"/>
    </xf>
    <xf numFmtId="0" fontId="4" fillId="0" borderId="0" pivotButton="0" quotePrefix="0" xfId="0"/>
    <xf numFmtId="0" fontId="4" fillId="0" borderId="15" applyAlignment="1" pivotButton="0" quotePrefix="0" xfId="0">
      <alignment horizontal="center"/>
    </xf>
    <xf numFmtId="0" fontId="4" fillId="0" borderId="38" applyAlignment="1" pivotButton="0" quotePrefix="0" xfId="0">
      <alignment horizontal="center" wrapText="1"/>
    </xf>
    <xf numFmtId="0" fontId="4" fillId="0" borderId="39" applyAlignment="1" pivotButton="0" quotePrefix="0" xfId="0">
      <alignment horizontal="center"/>
    </xf>
    <xf numFmtId="0" fontId="4" fillId="0" borderId="38" applyAlignment="1" pivotButton="0" quotePrefix="0" xfId="0">
      <alignment horizontal="center"/>
    </xf>
    <xf numFmtId="0" fontId="4" fillId="0" borderId="40" applyAlignment="1" pivotButton="0" quotePrefix="0" xfId="0">
      <alignment horizontal="center"/>
    </xf>
    <xf numFmtId="0" fontId="4" fillId="0" borderId="41" applyAlignment="1" pivotButton="0" quotePrefix="0" xfId="0">
      <alignment horizontal="center"/>
    </xf>
    <xf numFmtId="0" fontId="0" fillId="0" borderId="15" applyAlignment="1" pivotButton="0" quotePrefix="0" xfId="0">
      <alignment horizontal="center"/>
    </xf>
    <xf numFmtId="0" fontId="0" fillId="0" borderId="43" applyAlignment="1" pivotButton="0" quotePrefix="0" xfId="0">
      <alignment horizontal="center"/>
    </xf>
    <xf numFmtId="0" fontId="4" fillId="0" borderId="0" applyAlignment="1" pivotButton="0" quotePrefix="0" xfId="0">
      <alignment horizontal="left" vertical="center"/>
    </xf>
    <xf numFmtId="0" fontId="8" fillId="0" borderId="0" applyAlignment="1" pivotButton="0" quotePrefix="0" xfId="0">
      <alignment horizontal="center" vertical="center"/>
    </xf>
    <xf numFmtId="0" fontId="20" fillId="0" borderId="0" applyAlignment="1" pivotButton="0" quotePrefix="0" xfId="0">
      <alignment horizontal="center" vertical="center"/>
    </xf>
    <xf numFmtId="0" fontId="9" fillId="0" borderId="0" applyAlignment="1" pivotButton="0" quotePrefix="0" xfId="0">
      <alignment horizontal="center"/>
    </xf>
    <xf numFmtId="0" fontId="0" fillId="0" borderId="0" pivotButton="0" quotePrefix="0" xfId="0"/>
    <xf numFmtId="0" fontId="6" fillId="0" borderId="0" applyAlignment="1" pivotButton="0" quotePrefix="0" xfId="0">
      <alignment horizontal="center"/>
    </xf>
    <xf numFmtId="0" fontId="4" fillId="0" borderId="0" applyAlignment="1" pivotButton="0" quotePrefix="0" xfId="0">
      <alignment horizontal="left"/>
    </xf>
    <xf numFmtId="0" fontId="4" fillId="0" borderId="0" applyAlignment="1" pivotButton="0" quotePrefix="0" xfId="0">
      <alignment wrapText="1"/>
    </xf>
    <xf numFmtId="0" fontId="4" fillId="0" borderId="0" applyAlignment="1" pivotButton="0" quotePrefix="0" xfId="0">
      <alignment horizontal="center" wrapText="1"/>
    </xf>
    <xf numFmtId="0" fontId="23" fillId="0" borderId="0" applyAlignment="1" applyProtection="1" pivotButton="0" quotePrefix="0" xfId="2">
      <alignment horizontal="center" wrapText="1"/>
      <protection locked="0" hidden="0"/>
    </xf>
    <xf numFmtId="0" fontId="25" fillId="0" borderId="0" applyAlignment="1" pivotButton="0" quotePrefix="0" xfId="0">
      <alignment horizontal="center" wrapText="1"/>
    </xf>
    <xf numFmtId="0" fontId="30" fillId="0" borderId="0" applyAlignment="1" applyProtection="1" pivotButton="0" quotePrefix="0" xfId="0">
      <alignment horizontal="center"/>
      <protection locked="0" hidden="0"/>
    </xf>
    <xf numFmtId="0" fontId="31" fillId="0" borderId="0" applyAlignment="1" pivotButton="0" quotePrefix="0" xfId="0">
      <alignment horizontal="center"/>
    </xf>
    <xf numFmtId="49" fontId="13" fillId="0" borderId="0" applyAlignment="1" applyProtection="1" pivotButton="0" quotePrefix="0" xfId="0">
      <alignment wrapText="1"/>
      <protection locked="0" hidden="0"/>
    </xf>
    <xf numFmtId="49" fontId="13" fillId="0" borderId="0" applyAlignment="1" pivotButton="0" quotePrefix="0" xfId="0">
      <alignment wrapText="1"/>
    </xf>
    <xf numFmtId="0" fontId="13" fillId="0" borderId="0" applyAlignment="1" applyProtection="1" pivotButton="0" quotePrefix="0" xfId="0">
      <alignment wrapText="1"/>
      <protection locked="0" hidden="0"/>
    </xf>
    <xf numFmtId="0" fontId="13" fillId="0" borderId="0" applyAlignment="1" pivotButton="0" quotePrefix="0" xfId="0">
      <alignment wrapText="1"/>
    </xf>
    <xf numFmtId="0" fontId="24" fillId="0" borderId="0" applyAlignment="1" applyProtection="1" pivotButton="0" quotePrefix="0" xfId="0">
      <alignment wrapText="1"/>
      <protection locked="0" hidden="0"/>
    </xf>
    <xf numFmtId="0" fontId="24" fillId="0" borderId="0" applyProtection="1" pivotButton="0" quotePrefix="0" xfId="0">
      <protection locked="0" hidden="0"/>
    </xf>
    <xf numFmtId="0" fontId="13" fillId="0" borderId="0" pivotButton="0" quotePrefix="0" xfId="0"/>
    <xf numFmtId="0" fontId="29" fillId="0" borderId="0" applyProtection="1" pivotButton="0" quotePrefix="0" xfId="0">
      <protection locked="0" hidden="0"/>
    </xf>
    <xf numFmtId="0" fontId="17" fillId="0" borderId="0" pivotButton="0" quotePrefix="0" xfId="0"/>
    <xf numFmtId="0" fontId="13" fillId="0" borderId="0" applyAlignment="1" applyProtection="1" pivotButton="0" quotePrefix="0" xfId="0">
      <alignment horizontal="center"/>
      <protection locked="0" hidden="0"/>
    </xf>
    <xf numFmtId="0" fontId="13" fillId="0" borderId="0" applyAlignment="1" pivotButton="0" quotePrefix="0" xfId="0">
      <alignment horizontal="center"/>
    </xf>
    <xf numFmtId="0" fontId="13" fillId="0" borderId="0" applyProtection="1" pivotButton="0" quotePrefix="0" xfId="0">
      <protection locked="0" hidden="0"/>
    </xf>
    <xf numFmtId="0" fontId="13" fillId="0" borderId="0" applyAlignment="1" applyProtection="1" pivotButton="0" quotePrefix="0" xfId="0">
      <alignment horizontal="right"/>
      <protection locked="0" hidden="0"/>
    </xf>
    <xf numFmtId="0" fontId="13" fillId="0" borderId="0" applyAlignment="1" applyProtection="1" pivotButton="0" quotePrefix="0" xfId="0">
      <alignment horizontal="left"/>
      <protection locked="0" hidden="0"/>
    </xf>
    <xf numFmtId="0" fontId="23" fillId="0" borderId="0" applyProtection="1" pivotButton="0" quotePrefix="0" xfId="2">
      <protection locked="0" hidden="0"/>
    </xf>
    <xf numFmtId="0" fontId="17" fillId="0" borderId="0" applyAlignment="1" applyProtection="1" pivotButton="0" quotePrefix="0" xfId="0">
      <alignment horizontal="center"/>
      <protection locked="0" hidden="0"/>
    </xf>
    <xf numFmtId="0" fontId="13" fillId="0" borderId="0" applyAlignment="1" pivotButton="0" quotePrefix="0" xfId="0">
      <alignment horizontal="right"/>
    </xf>
    <xf numFmtId="0" fontId="0" fillId="0" borderId="0" applyAlignment="1" pivotButton="0" quotePrefix="0" xfId="0">
      <alignment horizontal="right"/>
    </xf>
    <xf numFmtId="0" fontId="24" fillId="0" borderId="0" applyAlignment="1" applyProtection="1" pivotButton="0" quotePrefix="0" xfId="0">
      <alignment horizontal="left" vertical="top" wrapText="1"/>
      <protection locked="0" hidden="0"/>
    </xf>
    <xf numFmtId="0" fontId="0" fillId="0" borderId="0" applyAlignment="1" pivotButton="0" quotePrefix="0" xfId="0">
      <alignment horizontal="left" vertical="top" wrapText="1"/>
    </xf>
    <xf numFmtId="0" fontId="24" fillId="0" borderId="11" applyAlignment="1" applyProtection="1" pivotButton="0" quotePrefix="0" xfId="0">
      <alignment horizontal="center"/>
      <protection locked="0" hidden="0"/>
    </xf>
    <xf numFmtId="0" fontId="24" fillId="0" borderId="12" applyProtection="1" pivotButton="0" quotePrefix="0" xfId="0">
      <protection locked="0" hidden="0"/>
    </xf>
    <xf numFmtId="165" fontId="24" fillId="0" borderId="11" applyAlignment="1" pivotButton="0" quotePrefix="0" xfId="0">
      <alignment horizontal="center" wrapText="1"/>
    </xf>
    <xf numFmtId="165" fontId="0" fillId="0" borderId="11" applyAlignment="1" pivotButton="0" quotePrefix="0" xfId="0">
      <alignment horizontal="center"/>
    </xf>
    <xf numFmtId="0" fontId="24" fillId="0" borderId="11" applyAlignment="1" pivotButton="0" quotePrefix="0" xfId="0">
      <alignment wrapText="1"/>
    </xf>
    <xf numFmtId="0" fontId="0" fillId="0" borderId="11" applyAlignment="1" pivotButton="0" quotePrefix="0" xfId="0">
      <alignment wrapText="1"/>
    </xf>
    <xf numFmtId="0" fontId="19" fillId="0" borderId="0" applyAlignment="1" pivotButton="0" quotePrefix="0" xfId="0">
      <alignment horizontal="center"/>
    </xf>
    <xf numFmtId="0" fontId="13" fillId="0" borderId="0" applyAlignment="1" applyProtection="1" pivotButton="0" quotePrefix="0" xfId="0">
      <alignment vertical="center"/>
      <protection locked="0" hidden="0"/>
    </xf>
    <xf numFmtId="0" fontId="13" fillId="0" borderId="0" applyAlignment="1" applyProtection="1" pivotButton="0" quotePrefix="0" xfId="0">
      <alignment vertical="center" wrapText="1"/>
      <protection locked="0" hidden="0"/>
    </xf>
    <xf numFmtId="0" fontId="0" fillId="0" borderId="0" applyAlignment="1" pivotButton="0" quotePrefix="0" xfId="0">
      <alignment wrapText="1"/>
    </xf>
    <xf numFmtId="0" fontId="13" fillId="0" borderId="0" applyAlignment="1" pivotButton="0" quotePrefix="0" xfId="0">
      <alignment horizontal="left" vertical="center" wrapText="1"/>
    </xf>
    <xf numFmtId="0" fontId="0" fillId="0" borderId="0" applyAlignment="1" pivotButton="0" quotePrefix="0" xfId="0">
      <alignment horizontal="left" vertical="center" wrapText="1"/>
    </xf>
    <xf numFmtId="0" fontId="24" fillId="9" borderId="11" applyAlignment="1" applyProtection="1" pivotButton="0" quotePrefix="0" xfId="0">
      <alignment horizontal="center"/>
      <protection locked="0" hidden="0"/>
    </xf>
    <xf numFmtId="0" fontId="0" fillId="9" borderId="11" applyAlignment="1" pivotButton="0" quotePrefix="0" xfId="0">
      <alignment horizontal="center"/>
    </xf>
    <xf numFmtId="0" fontId="10" fillId="0" borderId="0" applyAlignment="1" applyProtection="1" pivotButton="0" quotePrefix="0" xfId="0">
      <alignment horizontal="center"/>
      <protection locked="0" hidden="0"/>
    </xf>
    <xf numFmtId="0" fontId="13" fillId="0" borderId="0" applyAlignment="1" applyProtection="1" pivotButton="0" quotePrefix="0" xfId="0">
      <alignment horizontal="right" vertical="center"/>
      <protection locked="0" hidden="0"/>
    </xf>
    <xf numFmtId="0" fontId="13" fillId="0" borderId="0" applyAlignment="1" pivotButton="0" quotePrefix="0" xfId="0">
      <alignment horizontal="right" vertical="center"/>
    </xf>
    <xf numFmtId="49" fontId="17" fillId="0" borderId="0" applyAlignment="1" applyProtection="1" pivotButton="0" quotePrefix="0" xfId="0">
      <alignment horizontal="left" vertical="center"/>
      <protection locked="0" hidden="0"/>
    </xf>
    <xf numFmtId="169" fontId="17" fillId="0" borderId="0" applyAlignment="1" applyProtection="1" pivotButton="0" quotePrefix="0" xfId="1">
      <alignment horizontal="left" vertical="center"/>
      <protection locked="0" hidden="0"/>
    </xf>
    <xf numFmtId="0" fontId="17" fillId="0" borderId="0" applyAlignment="1" pivotButton="0" quotePrefix="0" xfId="0">
      <alignment horizontal="left" vertical="center"/>
    </xf>
    <xf numFmtId="0" fontId="21" fillId="0" borderId="0" applyAlignment="1" applyProtection="1" pivotButton="0" quotePrefix="0" xfId="0">
      <alignment horizontal="center"/>
      <protection locked="0" hidden="0"/>
    </xf>
    <xf numFmtId="0" fontId="27" fillId="0" borderId="0" applyAlignment="1" applyProtection="1" pivotButton="0" quotePrefix="0" xfId="0">
      <alignment horizontal="center"/>
      <protection locked="0" hidden="0"/>
    </xf>
    <xf numFmtId="0" fontId="27" fillId="0" borderId="0" applyAlignment="1" pivotButton="0" quotePrefix="0" xfId="0">
      <alignment horizontal="center"/>
    </xf>
    <xf numFmtId="0" fontId="0" fillId="0" borderId="0" applyAlignment="1" pivotButton="0" quotePrefix="0" xfId="0">
      <alignment horizontal="center"/>
    </xf>
    <xf numFmtId="169" fontId="17" fillId="0" borderId="31" applyAlignment="1" applyProtection="1" pivotButton="0" quotePrefix="0" xfId="1">
      <alignment horizontal="left" vertical="center"/>
      <protection locked="0" hidden="0"/>
    </xf>
    <xf numFmtId="0" fontId="17" fillId="0" borderId="24" applyAlignment="1" pivotButton="0" quotePrefix="0" xfId="0">
      <alignment horizontal="left" vertical="center"/>
    </xf>
    <xf numFmtId="0" fontId="17" fillId="0" borderId="25" applyAlignment="1" pivotButton="0" quotePrefix="0" xfId="0">
      <alignment horizontal="left" vertical="center"/>
    </xf>
    <xf numFmtId="0" fontId="13" fillId="0" borderId="9" applyAlignment="1" pivotButton="0" quotePrefix="0" xfId="0">
      <alignment horizontal="left" vertical="top" wrapText="1"/>
    </xf>
    <xf numFmtId="0" fontId="13" fillId="0" borderId="27" applyAlignment="1" pivotButton="0" quotePrefix="0" xfId="0">
      <alignment horizontal="left" vertical="top" wrapText="1"/>
    </xf>
    <xf numFmtId="0" fontId="13" fillId="0" borderId="26" applyAlignment="1" pivotButton="0" quotePrefix="0" xfId="0">
      <alignment horizontal="left" vertical="top" wrapText="1"/>
    </xf>
    <xf numFmtId="0" fontId="13" fillId="0" borderId="9" applyAlignment="1" applyProtection="1" pivotButton="0" quotePrefix="0" xfId="0">
      <alignment vertical="top" wrapText="1"/>
      <protection locked="0" hidden="0"/>
    </xf>
    <xf numFmtId="0" fontId="13" fillId="0" borderId="27" applyAlignment="1" pivotButton="0" quotePrefix="0" xfId="0">
      <alignment vertical="top" wrapText="1"/>
    </xf>
    <xf numFmtId="49" fontId="17" fillId="0" borderId="31" applyAlignment="1" applyProtection="1" pivotButton="0" quotePrefix="0" xfId="0">
      <alignment horizontal="left" vertical="center"/>
      <protection locked="0" hidden="0"/>
    </xf>
    <xf numFmtId="0" fontId="13" fillId="0" borderId="24" pivotButton="0" quotePrefix="0" xfId="0"/>
    <xf numFmtId="0" fontId="13" fillId="0" borderId="25" pivotButton="0" quotePrefix="0" xfId="0"/>
    <xf numFmtId="0" fontId="4" fillId="0" borderId="17" applyAlignment="1" pivotButton="0" quotePrefix="0" xfId="0">
      <alignment horizontal="center"/>
    </xf>
    <xf numFmtId="0" fontId="4" fillId="0" borderId="20" applyAlignment="1" pivotButton="0" quotePrefix="0" xfId="0">
      <alignment horizontal="center"/>
    </xf>
    <xf numFmtId="0" fontId="0" fillId="0" borderId="13" applyAlignment="1" pivotButton="0" quotePrefix="0" xfId="0">
      <alignment horizontal="center"/>
    </xf>
    <xf numFmtId="0" fontId="4" fillId="0" borderId="1" applyAlignment="1" pivotButton="0" quotePrefix="0" xfId="0">
      <alignment horizontal="center"/>
    </xf>
    <xf numFmtId="0" fontId="4" fillId="0" borderId="19" applyAlignment="1" pivotButton="0" quotePrefix="0" xfId="0">
      <alignment horizontal="center"/>
    </xf>
    <xf numFmtId="0" fontId="0" fillId="0" borderId="2" applyAlignment="1" pivotButton="0" quotePrefix="0" xfId="0">
      <alignment horizontal="center"/>
    </xf>
    <xf numFmtId="0" fontId="0" fillId="0" borderId="33" applyAlignment="1" pivotButton="0" quotePrefix="0" xfId="0">
      <alignment horizontal="center"/>
    </xf>
    <xf numFmtId="0" fontId="4" fillId="0" borderId="22" applyAlignment="1" pivotButton="0" quotePrefix="0" xfId="0">
      <alignment horizontal="center" wrapText="1"/>
    </xf>
    <xf numFmtId="0" fontId="4" fillId="0" borderId="23" applyAlignment="1" pivotButton="0" quotePrefix="0" xfId="0">
      <alignment horizontal="center"/>
    </xf>
    <xf numFmtId="0" fontId="4" fillId="0" borderId="24" applyAlignment="1" pivotButton="0" quotePrefix="0" xfId="0">
      <alignment horizontal="center"/>
    </xf>
    <xf numFmtId="0" fontId="4" fillId="0" borderId="25" applyAlignment="1" pivotButton="0" quotePrefix="0" xfId="0">
      <alignment horizontal="center"/>
    </xf>
    <xf numFmtId="0" fontId="4" fillId="0" borderId="9" applyAlignment="1" pivotButton="0" quotePrefix="0" xfId="0">
      <alignment horizontal="center"/>
    </xf>
    <xf numFmtId="0" fontId="4" fillId="0" borderId="26" applyAlignment="1" pivotButton="0" quotePrefix="0" xfId="0">
      <alignment horizontal="center"/>
    </xf>
    <xf numFmtId="0" fontId="4" fillId="0" borderId="27" applyAlignment="1" pivotButton="0" quotePrefix="0" xfId="0">
      <alignment horizontal="center"/>
    </xf>
    <xf numFmtId="0" fontId="4" fillId="0" borderId="28" applyAlignment="1" pivotButton="0" quotePrefix="0" xfId="0">
      <alignment horizontal="center"/>
    </xf>
    <xf numFmtId="0" fontId="6" fillId="2" borderId="0" applyAlignment="1" applyProtection="1" pivotButton="0" quotePrefix="0" xfId="0">
      <alignment vertical="center" wrapText="1"/>
      <protection locked="0" hidden="0"/>
    </xf>
    <xf numFmtId="0" fontId="0" fillId="2" borderId="0" applyAlignment="1" pivotButton="0" quotePrefix="0" xfId="0">
      <alignment vertical="center" wrapText="1"/>
    </xf>
    <xf numFmtId="0" fontId="1" fillId="0" borderId="0" applyAlignment="1" pivotButton="0" quotePrefix="0" xfId="0">
      <alignment horizontal="center" wrapText="1"/>
    </xf>
    <xf numFmtId="0" fontId="0" fillId="0" borderId="0" applyAlignment="1" pivotButton="0" quotePrefix="0" xfId="0">
      <alignment horizontal="center" wrapText="1"/>
    </xf>
    <xf numFmtId="0" fontId="1" fillId="2" borderId="0" applyAlignment="1" pivotButton="0" quotePrefix="0" xfId="0">
      <alignment horizontal="center"/>
    </xf>
    <xf numFmtId="0" fontId="1" fillId="0" borderId="0" applyAlignment="1" pivotButton="0" quotePrefix="0" xfId="0">
      <alignment horizontal="center"/>
    </xf>
    <xf numFmtId="0" fontId="11" fillId="0" borderId="16" applyAlignment="1" pivotButton="0" quotePrefix="0" xfId="0">
      <alignment horizontal="center" wrapText="1"/>
    </xf>
    <xf numFmtId="0" fontId="0" fillId="0" borderId="2" pivotButton="0" quotePrefix="0" xfId="0"/>
    <xf numFmtId="0" fontId="0" fillId="0" borderId="19" pivotButton="0" quotePrefix="0" xfId="0"/>
    <xf numFmtId="165" fontId="12" fillId="0" borderId="11" applyAlignment="1" pivotButton="0" quotePrefix="0" xfId="1">
      <alignment horizontal="center"/>
    </xf>
    <xf numFmtId="165" fontId="14" fillId="0" borderId="11" applyAlignment="1" pivotButton="0" quotePrefix="0" xfId="1">
      <alignment horizontal="center"/>
    </xf>
    <xf numFmtId="165" fontId="0" fillId="0" borderId="17" applyAlignment="1" pivotButton="0" quotePrefix="0" xfId="1">
      <alignment horizontal="center"/>
    </xf>
    <xf numFmtId="165" fontId="1" fillId="3" borderId="11" applyAlignment="1" pivotButton="0" quotePrefix="0" xfId="1">
      <alignment horizontal="center"/>
    </xf>
    <xf numFmtId="165" fontId="1" fillId="3" borderId="17" applyAlignment="1" pivotButton="0" quotePrefix="0" xfId="1">
      <alignment horizontal="center"/>
    </xf>
    <xf numFmtId="165" fontId="15" fillId="2" borderId="11" applyAlignment="1" pivotButton="0" quotePrefix="0" xfId="1">
      <alignment horizontal="center"/>
    </xf>
    <xf numFmtId="165" fontId="15" fillId="0" borderId="17" applyAlignment="1" pivotButton="0" quotePrefix="0" xfId="1">
      <alignment horizontal="center"/>
    </xf>
    <xf numFmtId="165" fontId="1" fillId="11" borderId="11" applyAlignment="1" pivotButton="0" quotePrefix="0" xfId="1">
      <alignment horizontal="center"/>
    </xf>
    <xf numFmtId="165" fontId="0" fillId="10" borderId="11" applyAlignment="1" pivotButton="0" quotePrefix="0" xfId="0">
      <alignment horizontal="center"/>
    </xf>
    <xf numFmtId="165" fontId="0" fillId="2" borderId="11" applyAlignment="1" pivotButton="0" quotePrefix="0" xfId="0">
      <alignment horizontal="center"/>
    </xf>
    <xf numFmtId="165" fontId="15" fillId="3" borderId="11" applyAlignment="1" pivotButton="0" quotePrefix="0" xfId="1">
      <alignment horizontal="center"/>
    </xf>
    <xf numFmtId="165" fontId="0" fillId="3" borderId="11" applyAlignment="1" pivotButton="0" quotePrefix="0" xfId="1">
      <alignment horizontal="center"/>
    </xf>
    <xf numFmtId="167" fontId="15" fillId="2" borderId="11" applyAlignment="1" pivotButton="0" quotePrefix="0" xfId="1">
      <alignment horizontal="center"/>
    </xf>
    <xf numFmtId="165" fontId="0" fillId="0" borderId="11" applyAlignment="1" pivotButton="0" quotePrefix="0" xfId="1">
      <alignment horizontal="center"/>
    </xf>
    <xf numFmtId="165" fontId="0" fillId="3" borderId="17" applyAlignment="1" pivotButton="0" quotePrefix="0" xfId="1">
      <alignment horizontal="center"/>
    </xf>
    <xf numFmtId="167" fontId="54" fillId="13" borderId="11" applyAlignment="1" pivotButton="0" quotePrefix="0" xfId="1">
      <alignment horizontal="center"/>
    </xf>
    <xf numFmtId="165" fontId="0" fillId="2" borderId="17" applyAlignment="1" pivotButton="0" quotePrefix="0" xfId="1">
      <alignment horizontal="center"/>
    </xf>
    <xf numFmtId="168" fontId="15" fillId="2" borderId="11" applyAlignment="1" pivotButton="0" quotePrefix="0" xfId="1">
      <alignment horizontal="center"/>
    </xf>
    <xf numFmtId="165" fontId="1" fillId="0" borderId="11" applyAlignment="1" pivotButton="0" quotePrefix="0" xfId="1">
      <alignment horizontal="center"/>
    </xf>
    <xf numFmtId="165" fontId="1" fillId="2" borderId="17" applyAlignment="1" pivotButton="0" quotePrefix="0" xfId="1">
      <alignment horizontal="center"/>
    </xf>
    <xf numFmtId="167" fontId="12" fillId="7" borderId="11" applyAlignment="1" pivotButton="0" quotePrefix="0" xfId="1">
      <alignment horizontal="center"/>
    </xf>
    <xf numFmtId="165" fontId="12" fillId="7" borderId="11" applyAlignment="1" pivotButton="0" quotePrefix="0" xfId="1">
      <alignment horizontal="center"/>
    </xf>
    <xf numFmtId="165" fontId="12" fillId="0" borderId="17" applyAlignment="1" pivotButton="0" quotePrefix="0" xfId="1">
      <alignment horizontal="center"/>
    </xf>
    <xf numFmtId="165" fontId="0" fillId="5" borderId="16" pivotButton="0" quotePrefix="0" xfId="0"/>
    <xf numFmtId="165" fontId="0" fillId="3" borderId="1" pivotButton="0" quotePrefix="0" xfId="0"/>
    <xf numFmtId="165" fontId="0" fillId="8" borderId="16" pivotButton="0" quotePrefix="0" xfId="0"/>
    <xf numFmtId="165" fontId="0" fillId="5" borderId="1" pivotButton="0" quotePrefix="0" xfId="0"/>
    <xf numFmtId="165" fontId="1" fillId="2" borderId="11" pivotButton="0" quotePrefix="0" xfId="0"/>
    <xf numFmtId="165" fontId="1" fillId="10" borderId="11" pivotButton="0" quotePrefix="0" xfId="0"/>
    <xf numFmtId="165" fontId="1" fillId="8" borderId="11" pivotButton="0" quotePrefix="0" xfId="0"/>
    <xf numFmtId="0" fontId="0" fillId="0" borderId="3" pivotButton="0" quotePrefix="0" xfId="0"/>
    <xf numFmtId="0" fontId="0" fillId="4" borderId="11" applyAlignment="1" pivotButton="0" quotePrefix="0" xfId="0">
      <alignment horizontal="center"/>
    </xf>
    <xf numFmtId="166" fontId="0" fillId="0" borderId="11" applyAlignment="1" pivotButton="0" quotePrefix="0" xfId="0">
      <alignment horizontal="center"/>
    </xf>
    <xf numFmtId="171" fontId="36" fillId="0" borderId="0" applyAlignment="1" applyProtection="1" pivotButton="0" quotePrefix="0" xfId="0">
      <alignment horizontal="left" vertical="center"/>
      <protection locked="0" hidden="0"/>
    </xf>
    <xf numFmtId="169" fontId="36" fillId="0" borderId="0" applyAlignment="1" applyProtection="1" pivotButton="0" quotePrefix="0" xfId="1">
      <alignment horizontal="right"/>
      <protection locked="0" hidden="0"/>
    </xf>
    <xf numFmtId="169" fontId="42" fillId="0" borderId="0" applyAlignment="1" applyProtection="1" pivotButton="0" quotePrefix="0" xfId="1">
      <alignment horizontal="center" vertical="center" wrapText="1"/>
      <protection locked="0" hidden="0"/>
    </xf>
    <xf numFmtId="165" fontId="36" fillId="0" borderId="0" applyProtection="1" pivotButton="0" quotePrefix="0" xfId="0">
      <protection locked="0" hidden="0"/>
    </xf>
    <xf numFmtId="165" fontId="36" fillId="0" borderId="0" applyAlignment="1" applyProtection="1" pivotButton="0" quotePrefix="0" xfId="0">
      <alignment horizontal="right"/>
      <protection locked="0" hidden="0"/>
    </xf>
    <xf numFmtId="165" fontId="36" fillId="0" borderId="0" pivotButton="0" quotePrefix="0" xfId="1"/>
    <xf numFmtId="165" fontId="36" fillId="0" borderId="0" pivotButton="0" quotePrefix="0" xfId="0"/>
    <xf numFmtId="0" fontId="0" fillId="0" borderId="2" applyProtection="1" pivotButton="0" quotePrefix="0" xfId="0">
      <protection locked="0" hidden="0"/>
    </xf>
    <xf numFmtId="0" fontId="4" fillId="0" borderId="37" applyAlignment="1" pivotButton="0" quotePrefix="0" xfId="0">
      <alignment horizontal="center" wrapText="1"/>
    </xf>
    <xf numFmtId="0" fontId="0" fillId="0" borderId="39" pivotButton="0" quotePrefix="0" xfId="0"/>
    <xf numFmtId="0" fontId="4" fillId="0" borderId="48" applyAlignment="1" pivotButton="0" quotePrefix="0" xfId="0">
      <alignment horizontal="center"/>
    </xf>
    <xf numFmtId="0" fontId="0" fillId="0" borderId="40" pivotButton="0" quotePrefix="0" xfId="0"/>
    <xf numFmtId="0" fontId="0" fillId="0" borderId="41" pivotButton="0" quotePrefix="0" xfId="0"/>
    <xf numFmtId="0" fontId="0" fillId="0" borderId="26" pivotButton="0" quotePrefix="0" xfId="0"/>
    <xf numFmtId="0" fontId="0" fillId="0" borderId="27" pivotButton="0" quotePrefix="0" xfId="0"/>
    <xf numFmtId="0" fontId="0" fillId="0" borderId="47" pivotButton="0" quotePrefix="0" xfId="0"/>
    <xf numFmtId="0" fontId="0" fillId="0" borderId="49" pivotButton="0" quotePrefix="0" xfId="0"/>
    <xf numFmtId="169" fontId="4" fillId="0" borderId="0" pivotButton="0" quotePrefix="0" xfId="1"/>
    <xf numFmtId="169" fontId="13" fillId="0" borderId="0" applyAlignment="1" applyProtection="1" pivotButton="0" quotePrefix="0" xfId="1">
      <alignment horizontal="right"/>
      <protection locked="0" hidden="0"/>
    </xf>
    <xf numFmtId="169" fontId="17" fillId="0" borderId="0" applyAlignment="1" applyProtection="1" pivotButton="0" quotePrefix="0" xfId="1">
      <alignment horizontal="left" vertical="center"/>
      <protection locked="0" hidden="0"/>
    </xf>
    <xf numFmtId="0" fontId="0" fillId="0" borderId="20" applyProtection="1" pivotButton="0" quotePrefix="0" xfId="0">
      <protection locked="0" hidden="0"/>
    </xf>
    <xf numFmtId="0" fontId="0" fillId="0" borderId="12" applyProtection="1" pivotButton="0" quotePrefix="0" xfId="0">
      <protection locked="0" hidden="0"/>
    </xf>
    <xf numFmtId="165" fontId="24" fillId="0" borderId="11" applyAlignment="1" pivotButton="0" quotePrefix="0" xfId="0">
      <alignment horizontal="center" wrapText="1"/>
    </xf>
    <xf numFmtId="165" fontId="13" fillId="0" borderId="11" applyProtection="1" pivotButton="0" quotePrefix="0" xfId="0">
      <protection locked="0" hidden="0"/>
    </xf>
    <xf numFmtId="165" fontId="13" fillId="0" borderId="11" pivotButton="0" quotePrefix="0" xfId="0"/>
    <xf numFmtId="49" fontId="17" fillId="0" borderId="4" applyAlignment="1" applyProtection="1" pivotButton="0" quotePrefix="0" xfId="0">
      <alignment horizontal="left" vertical="center"/>
      <protection locked="0" hidden="0"/>
    </xf>
    <xf numFmtId="0" fontId="0" fillId="0" borderId="24" applyProtection="1" pivotButton="0" quotePrefix="0" xfId="0">
      <protection locked="0" hidden="0"/>
    </xf>
    <xf numFmtId="0" fontId="0" fillId="0" borderId="25" applyProtection="1" pivotButton="0" quotePrefix="0" xfId="0">
      <protection locked="0" hidden="0"/>
    </xf>
    <xf numFmtId="169" fontId="17" fillId="0" borderId="4" applyAlignment="1" applyProtection="1" pivotButton="0" quotePrefix="0" xfId="1">
      <alignment horizontal="left" vertical="center"/>
      <protection locked="0" hidden="0"/>
    </xf>
    <xf numFmtId="0" fontId="0" fillId="0" borderId="27" applyProtection="1" pivotButton="0" quotePrefix="0" xfId="0">
      <protection locked="0" hidden="0"/>
    </xf>
    <xf numFmtId="0" fontId="13" fillId="0" borderId="8" applyAlignment="1" pivotButton="0" quotePrefix="0" xfId="0">
      <alignment horizontal="left" vertical="top" wrapText="1"/>
    </xf>
    <xf numFmtId="0" fontId="4" fillId="0" borderId="6" applyAlignment="1" pivotButton="0" quotePrefix="0" xfId="0">
      <alignment horizontal="center" wrapText="1"/>
    </xf>
    <xf numFmtId="0" fontId="0" fillId="0" borderId="23" pivotButton="0" quotePrefix="0" xfId="0"/>
    <xf numFmtId="0" fontId="0" fillId="0" borderId="24" pivotButton="0" quotePrefix="0" xfId="0"/>
    <xf numFmtId="0" fontId="0" fillId="0" borderId="25" pivotButton="0" quotePrefix="0" xfId="0"/>
    <xf numFmtId="0" fontId="0" fillId="0" borderId="28" pivotButton="0" quotePrefix="0" xfId="0"/>
    <xf numFmtId="0" fontId="0" fillId="0" borderId="13" pivotButton="0" quotePrefix="0" xfId="0"/>
    <xf numFmtId="0" fontId="0" fillId="0" borderId="33" pivotButton="0" quotePrefix="0" xfId="0"/>
    <xf numFmtId="165" fontId="0" fillId="0" borderId="0" pivotButton="0" quotePrefix="0" xfId="0"/>
    <xf numFmtId="170" fontId="0" fillId="0" borderId="0" applyAlignment="1" pivotButton="0" quotePrefix="0" xfId="0">
      <alignment horizontal="center"/>
    </xf>
    <xf numFmtId="165" fontId="0" fillId="0" borderId="0" applyAlignment="1" pivotButton="0" quotePrefix="0" xfId="0">
      <alignment horizontal="center"/>
    </xf>
    <xf numFmtId="165" fontId="0" fillId="10" borderId="0" applyAlignment="1" pivotButton="0" quotePrefix="0" xfId="0">
      <alignment horizontal="center"/>
    </xf>
    <xf numFmtId="165" fontId="0" fillId="2" borderId="0" applyAlignment="1" pivotButton="0" quotePrefix="0" xfId="0">
      <alignment horizontal="center"/>
    </xf>
    <xf numFmtId="165" fontId="0" fillId="8" borderId="0" applyAlignment="1" pivotButton="0" quotePrefix="0" xfId="0">
      <alignment horizontal="center"/>
    </xf>
    <xf numFmtId="170" fontId="0" fillId="0" borderId="0" pivotButton="0" quotePrefix="0" xfId="0"/>
    <xf numFmtId="165" fontId="0" fillId="0" borderId="0" pivotButton="0" quotePrefix="0" xfId="1"/>
    <xf numFmtId="165" fontId="0" fillId="2" borderId="0" pivotButton="0" quotePrefix="0" xfId="0"/>
    <xf numFmtId="165" fontId="1" fillId="0" borderId="0" applyAlignment="1" pivotButton="0" quotePrefix="0" xfId="0">
      <alignment horizontal="center"/>
    </xf>
  </cellXfs>
  <cellStyles count="4">
    <cellStyle name="Normal" xfId="0" builtinId="0"/>
    <cellStyle name="Currency" xfId="1" builtinId="4"/>
    <cellStyle name="Hyperlink" xfId="2" builtinId="8"/>
    <cellStyle name="Followed Hyperlink" xfId="3" builtinId="9" hidden="1"/>
  </cellStyles>
  <tableStyles count="0" defaultTableStyle="TableStyleMedium9" defaultPivotStyle="PivotStyleMedium7"/>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Microsoft Office User</author>
    <author>Greg Muniz</author>
    <author>tc={80C33F11-F0CF-2E48-B3A3-B02043159D93}</author>
  </authors>
  <commentList>
    <comment ref="C21" authorId="0" shapeId="0">
      <text>
        <t>Includes $40 per embed (includes female end also) and $20 for Control Glass to insert</t>
      </text>
    </comment>
    <comment ref="C33" authorId="1" shapeId="0">
      <text>
        <t>Greg Muniz:
Pricing as per Control Glass Quote #79540 dated 3-10-20
This # = $26 per sq ft</t>
      </text>
    </comment>
    <comment ref="B62" authorId="2" shapeId="0">
      <text>
        <t xml:space="preserve">[Threaded comment]
Your version of Excel allows you to read this threaded comment; however, any edits to it will get removed if the file is opened in a newer version of Excel. Learn more: https://go.microsoft.com/fwlink/?linkid=870924
Comment:
    Per Greg 10.20.21 </t>
      </text>
    </comment>
    <comment ref="C69" authorId="0" shapeId="0">
      <text>
        <t>Microsoft Office User:
CHANGED BY WAYNE 5/18/23</t>
      </text>
    </comment>
    <comment ref="C75" authorId="1" shapeId="0">
      <text>
        <t>Greg Muniz:
Leicht quoted $450
Feb 2018</t>
      </text>
    </comment>
    <comment ref="C76" authorId="1" shapeId="0">
      <text>
        <t xml:space="preserve">Greg Muniz:
Leicht quoted $600 Feb 2018
</t>
      </text>
    </comment>
    <comment ref="C77" authorId="1" shapeId="0">
      <text>
        <t>Greg Muniz:
Leicht quoted $1250 Feb 2018</t>
      </text>
    </comment>
    <comment ref="C78" authorId="1" shapeId="0">
      <text>
        <t>Greg Muniz:
Leicht quoted $1400 Feb 2018</t>
      </text>
    </comment>
    <comment ref="B105" authorId="1" shapeId="0">
      <text>
        <t xml:space="preserve">Greg Muniz:
GFS Cost $25.30 per sq ft
</t>
      </text>
    </comment>
  </commentList>
</comments>
</file>

<file path=xl/comments/comment2.xml><?xml version="1.0" encoding="utf-8"?>
<comments xmlns="http://schemas.openxmlformats.org/spreadsheetml/2006/main">
  <authors>
    <author>Microsoft Office User</author>
    <author>Greg Muniz</author>
  </authors>
  <commentList>
    <comment ref="G38" authorId="0" shapeId="0">
      <text>
        <t xml:space="preserve">Ensinger is $1.75 but added $.75 in for the die costs. We use $5 for series 2000 which has $3.25 added for die costs. </t>
      </text>
    </comment>
    <comment ref="G41" authorId="1" shapeId="0">
      <text>
        <t>Greg Muniz:
Added in money to pay the 30k for the die. $30000/9000=$3.33</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jpeg" Id="rId2"/><Relationship Type="http://schemas.openxmlformats.org/officeDocument/2006/relationships/image" Target="/xl/media/image3.png" Id="rId3"/></Relationships>
</file>

<file path=xl/drawings/_rels/drawing2.xml.rels><Relationships xmlns="http://schemas.openxmlformats.org/package/2006/relationships"><Relationship Type="http://schemas.openxmlformats.org/officeDocument/2006/relationships/image" Target="/xl/media/image4.png" Id="rId1"/><Relationship Type="http://schemas.openxmlformats.org/officeDocument/2006/relationships/image" Target="/xl/media/image5.png" Id="rId2"/></Relationships>
</file>

<file path=xl/drawings/_rels/drawing3.xml.rels><Relationships xmlns="http://schemas.openxmlformats.org/package/2006/relationships"><Relationship Type="http://schemas.openxmlformats.org/officeDocument/2006/relationships/image" Target="/xl/media/image6.png" Id="rId1"/></Relationships>
</file>

<file path=xl/drawings/_rels/drawing4.xml.rels><Relationships xmlns="http://schemas.openxmlformats.org/package/2006/relationships"><Relationship Type="http://schemas.openxmlformats.org/officeDocument/2006/relationships/image" Target="/xl/media/image7.png" Id="rId1"/></Relationships>
</file>

<file path=xl/drawings/_rels/drawing5.xml.rels><Relationships xmlns="http://schemas.openxmlformats.org/package/2006/relationships"><Relationship Type="http://schemas.openxmlformats.org/officeDocument/2006/relationships/image" Target="/xl/media/image8.png" Id="rId1"/></Relationships>
</file>

<file path=xl/drawings/_rels/drawing6.xml.rels><Relationships xmlns="http://schemas.openxmlformats.org/package/2006/relationships"><Relationship Type="http://schemas.openxmlformats.org/officeDocument/2006/relationships/image" Target="/xl/media/image9.png" Id="rId1"/></Relationships>
</file>

<file path=xl/drawings/_rels/drawing7.xml.rels><Relationships xmlns="http://schemas.openxmlformats.org/package/2006/relationships"><Relationship Type="http://schemas.openxmlformats.org/officeDocument/2006/relationships/image" Target="/xl/media/image10.png" Id="rId1"/><Relationship Type="http://schemas.openxmlformats.org/officeDocument/2006/relationships/image" Target="/xl/media/image11.png" Id="rId2"/></Relationships>
</file>

<file path=xl/drawings/drawing1.xml><?xml version="1.0" encoding="utf-8"?>
<wsDr xmlns="http://schemas.openxmlformats.org/drawingml/2006/spreadsheetDrawing">
  <twoCellAnchor editAs="oneCell">
    <from>
      <col>1</col>
      <colOff>1302</colOff>
      <row>0</row>
      <rowOff>121434</rowOff>
    </from>
    <to>
      <col>4</col>
      <colOff>1142999</colOff>
      <row>9</row>
      <rowOff>3151</rowOff>
    </to>
    <pic>
      <nvPicPr>
        <cNvPr id="3205" name="Picture 1" descr="GFS Logo.png"/>
        <cNvPicPr>
          <a:picLocks xmlns:a="http://schemas.openxmlformats.org/drawingml/2006/main" noChangeAspect="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29902" y="121434"/>
          <a:ext cx="3351497" cy="1481917"/>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26752</colOff>
      <row>166</row>
      <rowOff>48735</rowOff>
    </from>
    <to>
      <col>10</col>
      <colOff>1529180</colOff>
      <row>170</row>
      <rowOff>152865</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886444" y="25224043"/>
          <a:ext cx="7354198" cy="778207"/>
        </a:xfrm>
        <a:prstGeom xmlns:a="http://schemas.openxmlformats.org/drawingml/2006/main" prst="rect">
          <avLst/>
        </a:prstGeom>
        <a:ln xmlns:a="http://schemas.openxmlformats.org/drawingml/2006/main">
          <a:prstDash val="solid"/>
        </a:ln>
      </spPr>
    </pic>
    <clientData/>
  </twoCellAnchor>
  <twoCellAnchor editAs="oneCell">
    <from>
      <col>10</col>
      <colOff>1504463</colOff>
      <row>166</row>
      <rowOff>58615</rowOff>
    </from>
    <to>
      <col>10</col>
      <colOff>2281703</colOff>
      <row>170</row>
      <rowOff>161779</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8215925" y="25233923"/>
          <a:ext cx="777240" cy="777241"/>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from>
      <col>1</col>
      <colOff>91440</colOff>
      <row>0</row>
      <rowOff>129540</rowOff>
    </from>
    <to>
      <col>3</col>
      <colOff>1056640</colOff>
      <row>4</row>
      <rowOff>43180</rowOff>
    </to>
    <pic>
      <nvPicPr>
        <cNvPr id="2446" name="Picture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294640" y="129540"/>
          <a:ext cx="1859280" cy="75692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10</col>
      <colOff>365760</colOff>
      <row>0</row>
      <rowOff>287020</rowOff>
    </from>
    <to>
      <col>13</col>
      <colOff>635</colOff>
      <row>3</row>
      <rowOff>60960</rowOff>
    </to>
    <pic>
      <nvPicPr>
        <cNvPr id="2447" name="Picture 1"/>
        <cNvPicPr>
          <a:picLocks xmlns:a="http://schemas.openxmlformats.org/drawingml/2006/main" noChangeAspect="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6868160" y="287020"/>
          <a:ext cx="2026920" cy="45466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editAs="oneCell">
    <from>
      <col>1</col>
      <colOff>38099</colOff>
      <row>1</row>
      <rowOff>165100</rowOff>
    </from>
    <to>
      <col>5</col>
      <colOff>980</colOff>
      <row>7</row>
      <rowOff>152400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66699" y="368300"/>
          <a:ext cx="3341081" cy="13589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editAs="oneCell">
    <from>
      <col>1</col>
      <colOff>88899</colOff>
      <row>2</row>
      <rowOff>177800</rowOff>
    </from>
    <to>
      <col>5</col>
      <colOff>254000</colOff>
      <row>8</row>
      <rowOff>203200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787399" y="762000"/>
          <a:ext cx="3302001" cy="13589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editAs="oneCell">
    <from>
      <col>1</col>
      <colOff>88899</colOff>
      <row>2</row>
      <rowOff>177800</rowOff>
    </from>
    <to>
      <col>4</col>
      <colOff>977900</colOff>
      <row>11</row>
      <rowOff>38100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28599" y="762000"/>
          <a:ext cx="3302001" cy="13589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6.xml><?xml version="1.0" encoding="utf-8"?>
<wsDr xmlns="http://schemas.openxmlformats.org/drawingml/2006/spreadsheetDrawing">
  <twoCellAnchor editAs="oneCell">
    <from>
      <col>0</col>
      <colOff>38099</colOff>
      <row>2</row>
      <rowOff>165100</rowOff>
    </from>
    <to>
      <col>4</col>
      <colOff>251460</colOff>
      <row>8</row>
      <rowOff>190500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66699" y="165100"/>
          <a:ext cx="3314701" cy="13589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7.xml><?xml version="1.0" encoding="utf-8"?>
<wsDr xmlns="http://schemas.openxmlformats.org/drawingml/2006/spreadsheetDrawing">
  <twoCellAnchor>
    <from>
      <col>1</col>
      <colOff>91440</colOff>
      <row>0</row>
      <rowOff>129540</rowOff>
    </from>
    <to>
      <col>3</col>
      <colOff>1056640</colOff>
      <row>4</row>
      <rowOff>43180</rowOff>
    </to>
    <pic>
      <nvPicPr>
        <cNvPr id="3" name="Picture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294640" y="129540"/>
          <a:ext cx="1854200" cy="76454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9</col>
      <colOff>364067</colOff>
      <row>0</row>
      <rowOff>329354</rowOff>
    </from>
    <to>
      <col>12</col>
      <colOff>2</colOff>
      <row>3</row>
      <rowOff>157269</rowOff>
    </to>
    <pic>
      <nvPicPr>
        <cNvPr id="4" name="Picture 1"/>
        <cNvPicPr>
          <a:picLocks xmlns:a="http://schemas.openxmlformats.org/drawingml/2006/main" noChangeAspect="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6798734" y="329354"/>
          <a:ext cx="2294468" cy="531707"/>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mailto:mvetzal@bapgroup.ca" TargetMode="Externa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www.glassflooringsystems.com/" TargetMode="External" Id="rId1"/><Relationship Type="http://schemas.openxmlformats.org/officeDocument/2006/relationships/drawing" Target="/xl/drawings/drawing1.xml" Id="rId2"/></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5.xml.rels><Relationships xmlns="http://schemas.openxmlformats.org/package/2006/relationships"><Relationship Type="http://schemas.openxmlformats.org/officeDocument/2006/relationships/hyperlink" Target="mailto:greg@glassflooringsystems.com" TargetMode="External" Id="rId1"/><Relationship Type="http://schemas.openxmlformats.org/officeDocument/2006/relationships/hyperlink" Target="http://www.glassflooringsystems.com/" TargetMode="External" Id="rId2"/><Relationship Type="http://schemas.openxmlformats.org/officeDocument/2006/relationships/hyperlink" Target="mailto:greg@glassflooringsystems.com" TargetMode="External" Id="rId3"/><Relationship Type="http://schemas.openxmlformats.org/officeDocument/2006/relationships/hyperlink" Target="http://www.glassflooringsystems.com/" TargetMode="External" Id="rId4"/><Relationship Type="http://schemas.openxmlformats.org/officeDocument/2006/relationships/drawing" Target="/xl/drawings/drawing3.xml" Id="rId5"/></Relationships>
</file>

<file path=xl/worksheets/_rels/sheet6.xml.rels><Relationships xmlns="http://schemas.openxmlformats.org/package/2006/relationships"><Relationship Type="http://schemas.openxmlformats.org/officeDocument/2006/relationships/hyperlink" Target="mailto:dan@glassflooringsystems.com" TargetMode="External" Id="rId1"/><Relationship Type="http://schemas.openxmlformats.org/officeDocument/2006/relationships/hyperlink" Target="http://www.glassflooringsystems.com/" TargetMode="External" Id="rId2"/><Relationship Type="http://schemas.openxmlformats.org/officeDocument/2006/relationships/drawing" Target="/xl/drawings/drawing4.xml" Id="rId3"/></Relationships>
</file>

<file path=xl/worksheets/_rels/sheet7.xml.rels><Relationships xmlns="http://schemas.openxmlformats.org/package/2006/relationships"><Relationship Type="http://schemas.openxmlformats.org/officeDocument/2006/relationships/hyperlink" Target="mailto:greg@glassflooringsystems.com" TargetMode="External" Id="rId1"/><Relationship Type="http://schemas.openxmlformats.org/officeDocument/2006/relationships/hyperlink" Target="http://www.glassflooringsystems.com/" TargetMode="External" Id="rId2"/><Relationship Type="http://schemas.openxmlformats.org/officeDocument/2006/relationships/drawing" Target="/xl/drawings/drawing5.xml" Id="rId3"/></Relationships>
</file>

<file path=xl/worksheets/_rels/sheet8.xml.rels><Relationships xmlns="http://schemas.openxmlformats.org/package/2006/relationships"><Relationship Type="http://schemas.openxmlformats.org/officeDocument/2006/relationships/hyperlink" Target="mailto:greg@glassflooringsystems.com" TargetMode="External" Id="rId1"/><Relationship Type="http://schemas.openxmlformats.org/officeDocument/2006/relationships/hyperlink" Target="http://www.glassflooringsystems.com/" TargetMode="External" Id="rId2"/><Relationship Type="http://schemas.openxmlformats.org/officeDocument/2006/relationships/hyperlink" Target="mailto:greg@glassflooringsystems.com" TargetMode="External" Id="rId3"/><Relationship Type="http://schemas.openxmlformats.org/officeDocument/2006/relationships/drawing" Target="/xl/drawings/drawing6.xml" Id="rId4"/></Relationships>
</file>

<file path=xl/worksheets/_rels/sheet9.xml.rels><Relationships xmlns="http://schemas.openxmlformats.org/package/2006/relationships"><Relationship Type="http://schemas.openxmlformats.org/officeDocument/2006/relationships/drawing" Target="/xl/drawings/drawing7.xml" Id="rId1"/></Relationships>
</file>

<file path=xl/worksheets/_rels/sheet1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AL157"/>
  <sheetViews>
    <sheetView topLeftCell="B1" zoomScale="120" zoomScaleNormal="120" zoomScalePageLayoutView="130" workbookViewId="0">
      <pane ySplit="7" topLeftCell="A90" activePane="bottomLeft" state="frozen"/>
      <selection pane="bottomLeft" activeCell="F101" sqref="F101"/>
    </sheetView>
  </sheetViews>
  <sheetFormatPr baseColWidth="10" defaultColWidth="8.83203125" defaultRowHeight="14" customHeight="1"/>
  <cols>
    <col width="2.6640625" customWidth="1" style="486" min="1" max="1"/>
    <col width="36" customWidth="1" style="486" min="2" max="2"/>
    <col width="14.83203125" customWidth="1" style="486" min="3" max="3"/>
    <col width="4.33203125" customWidth="1" style="538" min="4" max="4"/>
    <col width="14.5" customWidth="1" style="486" min="5" max="5"/>
    <col width="13.83203125" customWidth="1" style="486" min="6" max="6"/>
    <col width="4.1640625" customWidth="1" style="486" min="7" max="7"/>
    <col width="14.5" customWidth="1" style="486" min="8" max="8"/>
    <col width="13.6640625" customWidth="1" style="486" min="9" max="9"/>
    <col width="3.83203125" customWidth="1" style="486" min="10" max="10"/>
    <col width="14.5" customWidth="1" style="538" min="11" max="11"/>
    <col width="13.1640625" customWidth="1" style="538" min="12" max="12"/>
    <col width="3.83203125" customWidth="1" style="538" min="13" max="13"/>
    <col width="15.1640625" customWidth="1" style="538" min="14" max="14"/>
    <col width="13" customWidth="1" style="538" min="15" max="15"/>
    <col width="3.83203125" customWidth="1" style="538" min="16" max="16"/>
    <col width="14.83203125" customWidth="1" style="538" min="17" max="17"/>
    <col width="13" customWidth="1" style="538" min="18" max="18"/>
    <col width="3.83203125" customWidth="1" style="538" min="19" max="19"/>
    <col width="13" customWidth="1" style="538" min="20" max="21"/>
    <col width="3.83203125" customWidth="1" style="538" min="22" max="22"/>
    <col width="13" customWidth="1" style="538" min="23" max="24"/>
    <col width="3.83203125" customWidth="1" style="538" min="25" max="25"/>
    <col width="13" customWidth="1" style="538" min="26" max="27"/>
    <col width="3.83203125" customWidth="1" style="538" min="28" max="28"/>
    <col width="13" customWidth="1" style="538" min="29" max="30"/>
    <col width="3.83203125" customWidth="1" style="538" min="31" max="31"/>
    <col width="13" customWidth="1" style="538" min="32" max="33"/>
    <col width="14.6640625" bestFit="1" customWidth="1" style="538" min="34" max="34"/>
    <col width="16.1640625" bestFit="1" customWidth="1" style="538" min="35" max="35"/>
    <col width="10.5" bestFit="1" customWidth="1" style="486" min="36" max="36"/>
    <col width="9" bestFit="1" customWidth="1" style="486" min="37" max="37"/>
    <col width="10.6640625" bestFit="1" customWidth="1" style="486" min="38" max="38"/>
  </cols>
  <sheetData>
    <row r="1" ht="14" customHeight="1" s="486" thickBot="1">
      <c r="A1" s="338" t="n"/>
    </row>
    <row r="2" ht="14" customHeight="1" s="486">
      <c r="B2" s="191" t="inlineStr">
        <is>
          <t>Project name</t>
        </is>
      </c>
      <c r="C2" s="359" t="n"/>
      <c r="D2" s="251" t="n"/>
      <c r="E2" s="192" t="inlineStr">
        <is>
          <t>Project address</t>
        </is>
      </c>
      <c r="F2" s="359" t="n"/>
      <c r="G2" s="253" t="n"/>
      <c r="H2" s="193" t="inlineStr">
        <is>
          <t>Quote #</t>
        </is>
      </c>
      <c r="I2" s="337" t="n"/>
      <c r="J2" s="253" t="n"/>
      <c r="K2" s="357" t="inlineStr">
        <is>
          <t>Person Quoting</t>
        </is>
      </c>
      <c r="L2" s="360" t="n"/>
      <c r="M2" s="413" t="n"/>
      <c r="N2" s="424" t="inlineStr">
        <is>
          <t>Person who checked quote</t>
        </is>
      </c>
      <c r="O2" s="433" t="n"/>
      <c r="Q2" s="570" t="inlineStr">
        <is>
          <t xml:space="preserve">3.20.25 - 182 Robinson St - Mike Vetzal - Glass Flooring Systems Proposal #17717 Distributor Pricing </t>
        </is>
      </c>
      <c r="R2" s="570" t="inlineStr">
        <is>
          <t>Residential</t>
        </is>
      </c>
    </row>
    <row r="3" ht="14" customHeight="1" s="486">
      <c r="B3" s="196" t="inlineStr">
        <is>
          <t xml:space="preserve">Contact </t>
        </is>
      </c>
      <c r="C3" s="407" t="n"/>
      <c r="D3" s="18" t="n"/>
      <c r="E3" s="189" t="inlineStr">
        <is>
          <t>Contact address</t>
        </is>
      </c>
      <c r="F3" s="356" t="n"/>
      <c r="G3" s="17" t="n"/>
      <c r="H3" s="189" t="inlineStr">
        <is>
          <t>Contact phone</t>
        </is>
      </c>
      <c r="I3" s="406" t="n"/>
      <c r="J3" s="17" t="n"/>
      <c r="K3" s="334" t="inlineStr">
        <is>
          <t>Contact email</t>
        </is>
      </c>
      <c r="L3" s="408" t="inlineStr">
        <is>
          <t>mailto:mvetzal@bapgroup.ca</t>
        </is>
      </c>
      <c r="M3" s="413" t="n"/>
      <c r="N3" s="425" t="n"/>
      <c r="O3" s="433" t="n"/>
      <c r="R3" s="570" t="inlineStr">
        <is>
          <t>Commercial</t>
        </is>
      </c>
    </row>
    <row r="4" ht="14" customHeight="1" s="486" thickBot="1">
      <c r="B4" s="194" t="inlineStr">
        <is>
          <t>Project Type</t>
        </is>
      </c>
      <c r="C4" s="411" t="n"/>
      <c r="D4" s="252" t="n"/>
      <c r="E4" s="195" t="inlineStr">
        <is>
          <t>Architect</t>
        </is>
      </c>
      <c r="F4" s="411" t="n"/>
      <c r="G4" s="254" t="n"/>
      <c r="H4" s="195" t="inlineStr">
        <is>
          <t>Homeowner</t>
        </is>
      </c>
      <c r="I4" s="322" t="n"/>
      <c r="J4" s="254" t="n"/>
      <c r="K4" s="358" t="inlineStr">
        <is>
          <t>Drafter/Designer</t>
        </is>
      </c>
      <c r="L4" s="361" t="n"/>
      <c r="M4" s="413" t="n"/>
    </row>
    <row r="5" ht="14" customHeight="1" s="486">
      <c r="B5" s="571" t="inlineStr">
        <is>
          <t>Fill in yellow cells only. All other cells will calculate automatically</t>
        </is>
      </c>
      <c r="C5" s="572" t="n"/>
      <c r="D5" s="572" t="n"/>
      <c r="E5" s="572" t="n"/>
      <c r="F5" s="572" t="n"/>
      <c r="G5" s="572" t="n"/>
      <c r="H5" s="572" t="n"/>
      <c r="I5" s="572" t="n"/>
      <c r="J5" s="572" t="n"/>
      <c r="K5" s="572" t="n"/>
      <c r="L5" s="572" t="n"/>
      <c r="M5" s="572" t="n"/>
      <c r="N5" s="572" t="n"/>
      <c r="O5" s="572" t="n"/>
      <c r="P5" s="572" t="n"/>
      <c r="Q5" s="572" t="n"/>
      <c r="R5" s="572" t="n"/>
      <c r="S5" s="572" t="n"/>
      <c r="T5" s="572" t="n"/>
      <c r="U5" s="572" t="n"/>
      <c r="V5" s="572" t="n"/>
      <c r="W5" s="572" t="n"/>
      <c r="X5" s="572" t="n"/>
      <c r="Y5" s="572" t="n"/>
      <c r="Z5" s="572" t="n"/>
      <c r="AA5" s="572" t="n"/>
      <c r="AB5" s="572" t="n"/>
      <c r="AC5" s="572" t="n"/>
      <c r="AD5" s="572" t="n"/>
      <c r="AE5" s="572" t="n"/>
      <c r="AF5" s="572" t="n"/>
      <c r="AG5" s="572" t="n"/>
      <c r="AH5" s="572" t="n"/>
      <c r="AI5" s="573" t="n"/>
    </row>
    <row r="6" ht="14" customHeight="1" s="486">
      <c r="B6" s="21" t="inlineStr">
        <is>
          <t>Surfaces</t>
        </is>
      </c>
      <c r="C6" s="574" t="inlineStr">
        <is>
          <t>Cost/Unit $</t>
        </is>
      </c>
      <c r="D6" s="84">
        <f>B113</f>
        <v/>
      </c>
      <c r="E6" s="432" t="n"/>
      <c r="F6" s="433" t="n"/>
      <c r="G6" s="84">
        <f>B114</f>
        <v/>
      </c>
      <c r="H6" s="432" t="n"/>
      <c r="I6" s="433" t="n"/>
      <c r="J6" s="84">
        <f>B115</f>
        <v/>
      </c>
      <c r="K6" s="432" t="n"/>
      <c r="L6" s="433" t="n"/>
      <c r="M6" s="84">
        <f>B116</f>
        <v/>
      </c>
      <c r="N6" s="432" t="n"/>
      <c r="O6" s="433" t="n"/>
      <c r="P6" s="7">
        <f>B117</f>
        <v/>
      </c>
      <c r="Q6" s="432" t="n"/>
      <c r="R6" s="433" t="n"/>
      <c r="S6" s="7">
        <f>B118</f>
        <v/>
      </c>
      <c r="T6" s="432" t="n"/>
      <c r="U6" s="433" t="n"/>
      <c r="V6" s="7">
        <f>B119</f>
        <v/>
      </c>
      <c r="W6" s="432" t="n"/>
      <c r="X6" s="433" t="n"/>
      <c r="Y6" s="7">
        <f>B120</f>
        <v/>
      </c>
      <c r="Z6" s="432" t="n"/>
      <c r="AA6" s="433" t="n"/>
      <c r="AB6" s="7">
        <f>B121</f>
        <v/>
      </c>
      <c r="AC6" s="432" t="n"/>
      <c r="AD6" s="433" t="n"/>
      <c r="AE6" s="7">
        <f>B122</f>
        <v/>
      </c>
      <c r="AF6" s="432" t="n"/>
      <c r="AG6" s="433" t="n"/>
      <c r="AH6" s="574" t="inlineStr">
        <is>
          <t>Subtotal $</t>
        </is>
      </c>
    </row>
    <row r="7" ht="14" customHeight="1" s="486">
      <c r="B7" s="21" t="n"/>
      <c r="C7" s="575" t="inlineStr">
        <is>
          <t>Do not erase</t>
        </is>
      </c>
      <c r="D7" s="7" t="n"/>
      <c r="E7" s="7" t="inlineStr">
        <is>
          <t>Qty</t>
        </is>
      </c>
      <c r="F7" s="7" t="inlineStr">
        <is>
          <t>Price</t>
        </is>
      </c>
      <c r="G7" s="7" t="n"/>
      <c r="H7" s="7" t="inlineStr">
        <is>
          <t>Qty</t>
        </is>
      </c>
      <c r="I7" s="7" t="inlineStr">
        <is>
          <t>Price</t>
        </is>
      </c>
      <c r="J7" s="7" t="n"/>
      <c r="K7" s="7" t="inlineStr">
        <is>
          <t>Qty</t>
        </is>
      </c>
      <c r="L7" s="7" t="inlineStr">
        <is>
          <t>Price</t>
        </is>
      </c>
      <c r="M7" s="7" t="n"/>
      <c r="N7" s="7" t="inlineStr">
        <is>
          <t>Qty</t>
        </is>
      </c>
      <c r="O7" s="7" t="inlineStr">
        <is>
          <t>Price</t>
        </is>
      </c>
      <c r="P7" s="7" t="n"/>
      <c r="Q7" s="7" t="inlineStr">
        <is>
          <t>Qty</t>
        </is>
      </c>
      <c r="R7" s="7" t="inlineStr">
        <is>
          <t>Price</t>
        </is>
      </c>
      <c r="S7" s="7" t="n"/>
      <c r="T7" s="7" t="inlineStr">
        <is>
          <t>Qty</t>
        </is>
      </c>
      <c r="U7" s="7" t="inlineStr">
        <is>
          <t>Price</t>
        </is>
      </c>
      <c r="V7" s="7" t="n"/>
      <c r="W7" s="7" t="inlineStr">
        <is>
          <t>Qty</t>
        </is>
      </c>
      <c r="X7" s="7" t="inlineStr">
        <is>
          <t>Price</t>
        </is>
      </c>
      <c r="Y7" s="7" t="n"/>
      <c r="Z7" s="7" t="inlineStr">
        <is>
          <t>Qty</t>
        </is>
      </c>
      <c r="AA7" s="7" t="inlineStr">
        <is>
          <t>Price</t>
        </is>
      </c>
      <c r="AB7" s="417" t="n"/>
      <c r="AC7" s="417" t="inlineStr">
        <is>
          <t>Qty</t>
        </is>
      </c>
      <c r="AD7" s="417" t="inlineStr">
        <is>
          <t>Price</t>
        </is>
      </c>
      <c r="AE7" s="417" t="n"/>
      <c r="AF7" s="417" t="inlineStr">
        <is>
          <t>Qty</t>
        </is>
      </c>
      <c r="AG7" s="417" t="inlineStr">
        <is>
          <t>Price</t>
        </is>
      </c>
      <c r="AH7" s="576" t="n"/>
      <c r="AI7" s="7" t="n"/>
    </row>
    <row r="8" ht="14" customHeight="1" s="486">
      <c r="A8" s="209" t="n"/>
      <c r="B8" s="17" t="inlineStr">
        <is>
          <t>Glass</t>
        </is>
      </c>
      <c r="C8" s="577" t="n"/>
      <c r="D8" s="18" t="n"/>
      <c r="E8" s="18" t="n"/>
      <c r="F8" s="18" t="n"/>
      <c r="G8" s="18" t="n"/>
      <c r="H8" s="18" t="n"/>
      <c r="I8" s="18" t="n"/>
      <c r="J8" s="18" t="n"/>
      <c r="K8" s="18" t="n"/>
      <c r="L8" s="18" t="n"/>
      <c r="M8" s="18" t="n"/>
      <c r="N8" s="18" t="n"/>
      <c r="O8" s="18" t="n"/>
      <c r="P8" s="18" t="n"/>
      <c r="Q8" s="18" t="n"/>
      <c r="R8" s="18" t="n"/>
      <c r="S8" s="18" t="n"/>
      <c r="T8" s="18" t="n"/>
      <c r="U8" s="18" t="n"/>
      <c r="V8" s="18" t="n"/>
      <c r="W8" s="18" t="n"/>
      <c r="X8" s="18" t="n"/>
      <c r="Y8" s="18" t="n"/>
      <c r="Z8" s="18" t="n"/>
      <c r="AA8" s="18" t="n"/>
      <c r="AB8" s="235" t="n"/>
      <c r="AC8" s="235" t="n"/>
      <c r="AD8" s="235" t="n"/>
      <c r="AE8" s="235" t="n"/>
      <c r="AF8" s="235" t="n"/>
      <c r="AG8" s="235" t="n"/>
      <c r="AH8" s="578" t="n"/>
      <c r="AI8" s="13" t="n"/>
    </row>
    <row r="9" ht="14" customHeight="1" s="486">
      <c r="A9" s="209" t="n"/>
      <c r="B9" s="185" t="inlineStr">
        <is>
          <t>Glass - no IGU</t>
        </is>
      </c>
      <c r="C9" s="579" t="n">
        <v>66</v>
      </c>
      <c r="D9" s="207" t="n"/>
      <c r="E9" s="200">
        <f>IF(D9="y",$H$113,0)</f>
        <v/>
      </c>
      <c r="F9" s="202">
        <f>E9*$C9</f>
        <v/>
      </c>
      <c r="G9" s="206" t="n"/>
      <c r="H9" s="200">
        <f>IF(G9="y",$H$114,0)</f>
        <v/>
      </c>
      <c r="I9" s="202">
        <f>H9*$C9</f>
        <v/>
      </c>
      <c r="J9" s="9" t="n"/>
      <c r="K9" s="200">
        <f>IF(J9="y",$H$115,0)</f>
        <v/>
      </c>
      <c r="L9" s="202">
        <f>K9*$C9</f>
        <v/>
      </c>
      <c r="M9" s="9" t="n"/>
      <c r="N9" s="200">
        <f>IF(M9="y",$H$116,0)</f>
        <v/>
      </c>
      <c r="O9" s="202">
        <f>N9*$C9</f>
        <v/>
      </c>
      <c r="P9" s="9" t="n"/>
      <c r="Q9" s="200">
        <f>IF(P9="y",$H$117,0)</f>
        <v/>
      </c>
      <c r="R9" s="202">
        <f>Q9*$C9</f>
        <v/>
      </c>
      <c r="S9" s="9" t="n"/>
      <c r="T9" s="200">
        <f>IF(S9="y",$H$118,0)</f>
        <v/>
      </c>
      <c r="U9" s="202">
        <f>T9*$C9</f>
        <v/>
      </c>
      <c r="V9" s="9" t="n"/>
      <c r="W9" s="200">
        <f>IF(V9="y",$H$119,0)</f>
        <v/>
      </c>
      <c r="X9" s="202">
        <f>W9*$C9</f>
        <v/>
      </c>
      <c r="Y9" s="9" t="n"/>
      <c r="Z9" s="200">
        <f>IF(Y9="y",$H$120,0)</f>
        <v/>
      </c>
      <c r="AA9" s="202">
        <f>Z9*$C9</f>
        <v/>
      </c>
      <c r="AB9" s="238" t="n"/>
      <c r="AC9" s="200">
        <f>IF(AB9="y",$H$121,0)</f>
        <v/>
      </c>
      <c r="AD9" s="202">
        <f>AC9*$C9</f>
        <v/>
      </c>
      <c r="AE9" s="238" t="n"/>
      <c r="AF9" s="200">
        <f>IF(AE9="y",$H$122,0)</f>
        <v/>
      </c>
      <c r="AG9" s="202">
        <f>AF9*$C9</f>
        <v/>
      </c>
      <c r="AH9" s="580">
        <f>SUM(F9+I9+L9+O9+R9+U9+X9+AA9+AD9+AG9)</f>
        <v/>
      </c>
      <c r="AI9" s="69" t="n"/>
    </row>
    <row r="10" ht="14" customHeight="1" s="486">
      <c r="A10" s="209" t="n"/>
      <c r="B10" s="5" t="inlineStr">
        <is>
          <t>Glass - with IGU</t>
        </is>
      </c>
      <c r="C10" s="579" t="n">
        <v>112</v>
      </c>
      <c r="D10" s="207" t="n"/>
      <c r="E10" s="200">
        <f>IF(D10="y",$H$113,0)</f>
        <v/>
      </c>
      <c r="F10" s="202">
        <f>E10*$C10</f>
        <v/>
      </c>
      <c r="G10" s="206" t="n"/>
      <c r="H10" s="200">
        <f>IF(G10="y",$H$114,0)</f>
        <v/>
      </c>
      <c r="I10" s="202">
        <f>H10*$C10</f>
        <v/>
      </c>
      <c r="J10" s="206" t="n"/>
      <c r="K10" s="200">
        <f>IF(J10="y",$H$115,0)</f>
        <v/>
      </c>
      <c r="L10" s="202">
        <f>K10*$C10</f>
        <v/>
      </c>
      <c r="M10" s="206" t="n"/>
      <c r="N10" s="200">
        <f>IF(M10="y",$H$116,0)</f>
        <v/>
      </c>
      <c r="O10" s="202">
        <f>N10*$C10</f>
        <v/>
      </c>
      <c r="P10" s="206" t="n"/>
      <c r="Q10" s="200">
        <f>IF(P10="y",$H$117,0)</f>
        <v/>
      </c>
      <c r="R10" s="202">
        <f>Q10*$C10</f>
        <v/>
      </c>
      <c r="S10" s="206" t="n"/>
      <c r="T10" s="200">
        <f>IF(S10="y",$H$118,0)</f>
        <v/>
      </c>
      <c r="U10" s="202">
        <f>T10*$C10</f>
        <v/>
      </c>
      <c r="V10" s="206" t="n"/>
      <c r="W10" s="200">
        <f>IF(V10="y",$H$119,0)</f>
        <v/>
      </c>
      <c r="X10" s="202">
        <f>W10*$C10</f>
        <v/>
      </c>
      <c r="Y10" s="206" t="n"/>
      <c r="Z10" s="200">
        <f>IF(Y10="y",$H$120,0)</f>
        <v/>
      </c>
      <c r="AA10" s="202">
        <f>Z10*$C10</f>
        <v/>
      </c>
      <c r="AB10" s="249" t="n"/>
      <c r="AC10" s="200">
        <f>IF(AB10="y",$H$121,0)</f>
        <v/>
      </c>
      <c r="AD10" s="202">
        <f>AC10*$C10</f>
        <v/>
      </c>
      <c r="AE10" s="249" t="n"/>
      <c r="AF10" s="200">
        <f>IF(AE10="y",$H$122,0)</f>
        <v/>
      </c>
      <c r="AG10" s="202">
        <f>AF10*$C10</f>
        <v/>
      </c>
      <c r="AH10" s="580">
        <f>SUM(F10+I10+L10+O10+R10+U10+X10+AA10+AD10+AG10)</f>
        <v/>
      </c>
      <c r="AI10" s="69" t="n"/>
    </row>
    <row r="11" ht="14" customHeight="1" s="486">
      <c r="A11" s="209" t="n"/>
      <c r="B11" s="185" t="inlineStr">
        <is>
          <t>Glass 2.0 system</t>
        </is>
      </c>
      <c r="C11" s="579" t="n">
        <v>121</v>
      </c>
      <c r="D11" s="207" t="n"/>
      <c r="E11" s="200">
        <f>IF(D11="y",$H$113,0)</f>
        <v/>
      </c>
      <c r="F11" s="202">
        <f>E11*$C11</f>
        <v/>
      </c>
      <c r="G11" s="9" t="n"/>
      <c r="H11" s="200">
        <f>IF(G11="y",$H$114,0)</f>
        <v/>
      </c>
      <c r="I11" s="202">
        <f>H11*$C11</f>
        <v/>
      </c>
      <c r="J11" s="9" t="n"/>
      <c r="K11" s="200">
        <f>IF(J11="y",$H$115,0)</f>
        <v/>
      </c>
      <c r="L11" s="202">
        <f>K11*$C11</f>
        <v/>
      </c>
      <c r="M11" s="9" t="n"/>
      <c r="N11" s="200">
        <f>IF(M11="y",$H$116,0)</f>
        <v/>
      </c>
      <c r="O11" s="202">
        <f>N11*$C11</f>
        <v/>
      </c>
      <c r="P11" s="9" t="n"/>
      <c r="Q11" s="200">
        <f>IF(P11="y",$H$117,0)</f>
        <v/>
      </c>
      <c r="R11" s="202">
        <f>Q11*$C11</f>
        <v/>
      </c>
      <c r="S11" s="9" t="n"/>
      <c r="T11" s="200">
        <f>IF(S11="y",$H$118,0)</f>
        <v/>
      </c>
      <c r="U11" s="202">
        <f>T11*$C11</f>
        <v/>
      </c>
      <c r="V11" s="9" t="n"/>
      <c r="W11" s="200">
        <f>IF(V11="y",$H$119,0)</f>
        <v/>
      </c>
      <c r="X11" s="202">
        <f>W11*$C11</f>
        <v/>
      </c>
      <c r="Y11" s="9" t="n"/>
      <c r="Z11" s="200">
        <f>IF(Y11="y",$H$120,0)</f>
        <v/>
      </c>
      <c r="AA11" s="202">
        <f>Z11*$C11</f>
        <v/>
      </c>
      <c r="AB11" s="238" t="n"/>
      <c r="AC11" s="200">
        <f>IF(AB11="y",$H$121,0)</f>
        <v/>
      </c>
      <c r="AD11" s="202">
        <f>AC11*$C11</f>
        <v/>
      </c>
      <c r="AE11" s="238" t="n"/>
      <c r="AF11" s="200">
        <f>IF(AE11="y",$H$122,0)</f>
        <v/>
      </c>
      <c r="AG11" s="202">
        <f>AF11*$C11</f>
        <v/>
      </c>
      <c r="AH11" s="580">
        <f>SUM(F11+I11+L11+O11+R11+U11+X11+AA11+AD11+AG11)</f>
        <v/>
      </c>
      <c r="AI11" s="69" t="n"/>
    </row>
    <row r="12" ht="14" customHeight="1" s="486">
      <c r="A12" s="209" t="n"/>
      <c r="B12" s="185" t="inlineStr">
        <is>
          <t>Stair treads - post lamination polish</t>
        </is>
      </c>
      <c r="C12" s="579" t="n">
        <v>99</v>
      </c>
      <c r="D12" s="8" t="n"/>
      <c r="E12" s="200">
        <f>IF(D12="y",$H$113,0)</f>
        <v/>
      </c>
      <c r="F12" s="202">
        <f>E12*$C12</f>
        <v/>
      </c>
      <c r="G12" s="9" t="n"/>
      <c r="H12" s="200">
        <f>IF(G12="y",$H$114,0)</f>
        <v/>
      </c>
      <c r="I12" s="202">
        <f>H12*$C12</f>
        <v/>
      </c>
      <c r="J12" s="9" t="n"/>
      <c r="K12" s="200">
        <f>IF(J12="y",$H$115,0)</f>
        <v/>
      </c>
      <c r="L12" s="202">
        <f>K12*$C12</f>
        <v/>
      </c>
      <c r="M12" s="9" t="n"/>
      <c r="N12" s="200">
        <f>IF(M12="y",$H$116,0)</f>
        <v/>
      </c>
      <c r="O12" s="202">
        <f>N12*$C12</f>
        <v/>
      </c>
      <c r="P12" s="9" t="n"/>
      <c r="Q12" s="200">
        <f>IF(P12="y",$H$117,0)</f>
        <v/>
      </c>
      <c r="R12" s="202">
        <f>Q12*$C12</f>
        <v/>
      </c>
      <c r="S12" s="9" t="n"/>
      <c r="T12" s="200">
        <f>IF(S12="y",$H$118,0)</f>
        <v/>
      </c>
      <c r="U12" s="202">
        <f>T12*$C12</f>
        <v/>
      </c>
      <c r="V12" s="9" t="n"/>
      <c r="W12" s="200">
        <f>IF(V12="y",$H$119,0)</f>
        <v/>
      </c>
      <c r="X12" s="202">
        <f>W12*$C12</f>
        <v/>
      </c>
      <c r="Y12" s="9" t="n"/>
      <c r="Z12" s="200">
        <f>IF(Y12="y",$H$120,0)</f>
        <v/>
      </c>
      <c r="AA12" s="202">
        <f>Z12*$C12</f>
        <v/>
      </c>
      <c r="AB12" s="238" t="n"/>
      <c r="AC12" s="200">
        <f>IF(AB12="y",$H$121,0)</f>
        <v/>
      </c>
      <c r="AD12" s="202">
        <f>AC12*$C12</f>
        <v/>
      </c>
      <c r="AE12" s="238" t="n"/>
      <c r="AF12" s="200">
        <f>IF(AE12="y",$H$122,0)</f>
        <v/>
      </c>
      <c r="AG12" s="202">
        <f>AF12*$C12</f>
        <v/>
      </c>
      <c r="AH12" s="580">
        <f>SUM(F12+I12+L12+O12+R12+U12+X12+AA12+AD12+AG12)</f>
        <v/>
      </c>
      <c r="AI12" s="69" t="n"/>
    </row>
    <row r="13" ht="14" customHeight="1" s="486">
      <c r="A13" s="209" t="n"/>
      <c r="B13" s="185" t="inlineStr">
        <is>
          <t>Non-Walkable glass</t>
        </is>
      </c>
      <c r="C13" s="579" t="n">
        <v>71</v>
      </c>
      <c r="D13" s="8" t="n"/>
      <c r="E13" s="200">
        <f>IF(D13="y",$H$113,0)</f>
        <v/>
      </c>
      <c r="F13" s="202">
        <f>E13*$C13</f>
        <v/>
      </c>
      <c r="G13" s="9" t="n"/>
      <c r="H13" s="200">
        <f>IF(G13="y",$H$114,0)</f>
        <v/>
      </c>
      <c r="I13" s="202">
        <f>H13*$C13</f>
        <v/>
      </c>
      <c r="J13" s="9" t="n"/>
      <c r="K13" s="200">
        <f>IF(J13="y",$H$115,0)</f>
        <v/>
      </c>
      <c r="L13" s="202">
        <f>K13*$C13</f>
        <v/>
      </c>
      <c r="M13" s="9" t="n"/>
      <c r="N13" s="200">
        <f>IF(M13="y",$H$116,0)</f>
        <v/>
      </c>
      <c r="O13" s="202">
        <f>N13*$C13</f>
        <v/>
      </c>
      <c r="P13" s="9" t="n"/>
      <c r="Q13" s="200">
        <f>IF(P13="y",$H$117,0)</f>
        <v/>
      </c>
      <c r="R13" s="202">
        <f>Q13*$C13</f>
        <v/>
      </c>
      <c r="S13" s="9" t="n"/>
      <c r="T13" s="200">
        <f>IF(S13="y",$H$118,0)</f>
        <v/>
      </c>
      <c r="U13" s="202">
        <f>T13*$C13</f>
        <v/>
      </c>
      <c r="V13" s="9" t="n"/>
      <c r="W13" s="200">
        <f>IF(V13="y",$H$119,0)</f>
        <v/>
      </c>
      <c r="X13" s="202">
        <f>W13*$C13</f>
        <v/>
      </c>
      <c r="Y13" s="9" t="n"/>
      <c r="Z13" s="200">
        <f>IF(Y13="y",$H$120,0)</f>
        <v/>
      </c>
      <c r="AA13" s="202">
        <f>Z13*$C13</f>
        <v/>
      </c>
      <c r="AB13" s="238" t="n"/>
      <c r="AC13" s="200">
        <f>IF(AB13="y",$H$121,0)</f>
        <v/>
      </c>
      <c r="AD13" s="202">
        <f>AC13*$C13</f>
        <v/>
      </c>
      <c r="AE13" s="238" t="n"/>
      <c r="AF13" s="200">
        <f>IF(AE13="y",$H$122,0)</f>
        <v/>
      </c>
      <c r="AG13" s="202">
        <f>AF13*$C13</f>
        <v/>
      </c>
      <c r="AH13" s="580">
        <f>SUM(F13+I13+L13+O13+R13+U13+X13+AA13+AD13+AG13)</f>
        <v/>
      </c>
      <c r="AI13" s="69" t="n"/>
    </row>
    <row r="14" ht="14" customHeight="1" s="486">
      <c r="A14" s="209" t="n"/>
      <c r="B14" s="185" t="inlineStr">
        <is>
          <t>EGR</t>
        </is>
      </c>
      <c r="C14" s="579" t="n">
        <v>95</v>
      </c>
      <c r="D14" s="8" t="n"/>
      <c r="E14" s="200">
        <f>IF(D14="y",$H$113,0)</f>
        <v/>
      </c>
      <c r="F14" s="202">
        <f>E14*$C14</f>
        <v/>
      </c>
      <c r="G14" s="9" t="n"/>
      <c r="H14" s="200">
        <f>IF(G14="y",$H$114,0)</f>
        <v/>
      </c>
      <c r="I14" s="202">
        <f>H14*$C14</f>
        <v/>
      </c>
      <c r="J14" s="9" t="n"/>
      <c r="K14" s="200">
        <f>IF(J14="y",$H$115,0)</f>
        <v/>
      </c>
      <c r="L14" s="202">
        <f>K14*$C14</f>
        <v/>
      </c>
      <c r="M14" s="9" t="n"/>
      <c r="N14" s="200">
        <f>IF(M14="y",$H$116,0)</f>
        <v/>
      </c>
      <c r="O14" s="202">
        <f>N14*$C14</f>
        <v/>
      </c>
      <c r="P14" s="9" t="n"/>
      <c r="Q14" s="200">
        <f>IF(P14="y",$H$117,0)</f>
        <v/>
      </c>
      <c r="R14" s="202">
        <f>Q14*$C14</f>
        <v/>
      </c>
      <c r="S14" s="9" t="n"/>
      <c r="T14" s="200">
        <f>IF(S14="y",$H$118,0)</f>
        <v/>
      </c>
      <c r="U14" s="202">
        <f>T14*$C14</f>
        <v/>
      </c>
      <c r="V14" s="9" t="n"/>
      <c r="W14" s="200">
        <f>IF(V14="y",$H$119,0)</f>
        <v/>
      </c>
      <c r="X14" s="202">
        <f>W14*$C14</f>
        <v/>
      </c>
      <c r="Y14" s="9" t="n"/>
      <c r="Z14" s="200">
        <f>IF(Y14="y",$H$120,0)</f>
        <v/>
      </c>
      <c r="AA14" s="202">
        <f>Z14*$C14</f>
        <v/>
      </c>
      <c r="AB14" s="238" t="n"/>
      <c r="AC14" s="200">
        <f>IF(AB14="y",$H$121,0)</f>
        <v/>
      </c>
      <c r="AD14" s="202">
        <f>AC14*$C14</f>
        <v/>
      </c>
      <c r="AE14" s="238" t="n"/>
      <c r="AF14" s="200">
        <f>IF(AE14="y",$H$122,0)</f>
        <v/>
      </c>
      <c r="AG14" s="202">
        <f>AF14*$C14</f>
        <v/>
      </c>
      <c r="AH14" s="580">
        <f>SUM(F14+I14+L14+O14+R14+U14+X14+AA14+AD14+AG14)</f>
        <v/>
      </c>
      <c r="AI14" s="69" t="n"/>
    </row>
    <row r="15" ht="14" customHeight="1" s="486">
      <c r="A15" s="209" t="n"/>
      <c r="B15" s="188" t="inlineStr">
        <is>
          <t>Options</t>
        </is>
      </c>
      <c r="C15" s="577" t="n"/>
      <c r="D15" s="18" t="n"/>
      <c r="E15" s="18" t="n"/>
      <c r="F15" s="19" t="n"/>
      <c r="G15" s="19" t="n"/>
      <c r="H15" s="18" t="n"/>
      <c r="I15" s="19" t="n"/>
      <c r="J15" s="19" t="n"/>
      <c r="K15" s="18" t="n"/>
      <c r="L15" s="19" t="n"/>
      <c r="M15" s="19" t="n"/>
      <c r="N15" s="18" t="n"/>
      <c r="O15" s="19" t="n"/>
      <c r="P15" s="64" t="n"/>
      <c r="Q15" s="65" t="n"/>
      <c r="R15" s="19" t="n"/>
      <c r="S15" s="64" t="n"/>
      <c r="T15" s="65" t="n"/>
      <c r="U15" s="19" t="n"/>
      <c r="V15" s="64" t="n"/>
      <c r="W15" s="65" t="n"/>
      <c r="X15" s="19" t="n"/>
      <c r="Y15" s="64" t="n"/>
      <c r="Z15" s="65" t="n"/>
      <c r="AA15" s="19" t="n"/>
      <c r="AB15" s="236" t="n"/>
      <c r="AC15" s="236" t="n"/>
      <c r="AD15" s="236" t="n"/>
      <c r="AE15" s="236" t="n"/>
      <c r="AF15" s="236" t="n"/>
      <c r="AG15" s="236" t="n"/>
      <c r="AH15" s="580" t="n"/>
      <c r="AI15" s="69" t="n"/>
    </row>
    <row r="16" ht="14" customHeight="1" s="486">
      <c r="A16" s="209" t="n"/>
      <c r="B16" s="5" t="inlineStr">
        <is>
          <t>Sentry Glass interlayer</t>
        </is>
      </c>
      <c r="C16" s="579" t="n">
        <v>4</v>
      </c>
      <c r="D16" s="8" t="n"/>
      <c r="E16" s="200">
        <f>IF(D16="y",$H$113,0)</f>
        <v/>
      </c>
      <c r="F16" s="202">
        <f>E16*$C16</f>
        <v/>
      </c>
      <c r="G16" s="9" t="n"/>
      <c r="H16" s="200">
        <f>IF(G16="y",$H$114,0)</f>
        <v/>
      </c>
      <c r="I16" s="202">
        <f>H16*$C16</f>
        <v/>
      </c>
      <c r="J16" s="206" t="n"/>
      <c r="K16" s="200">
        <f>IF(J16="y",$H$115,0)</f>
        <v/>
      </c>
      <c r="L16" s="202">
        <f>K16*$C16</f>
        <v/>
      </c>
      <c r="M16" s="206" t="n"/>
      <c r="N16" s="200">
        <f>IF(M16="y",$H$116,0)</f>
        <v/>
      </c>
      <c r="O16" s="202">
        <f>N16*$C16</f>
        <v/>
      </c>
      <c r="P16" s="206" t="n"/>
      <c r="Q16" s="200">
        <f>IF(P16="y",$H$117,0)</f>
        <v/>
      </c>
      <c r="R16" s="202">
        <f>Q16*$C16</f>
        <v/>
      </c>
      <c r="S16" s="9" t="n"/>
      <c r="T16" s="200">
        <f>IF(S16="y",$H$118,0)</f>
        <v/>
      </c>
      <c r="U16" s="202">
        <f>T16*$C16</f>
        <v/>
      </c>
      <c r="V16" s="9" t="n"/>
      <c r="W16" s="200">
        <f>IF(V16="y",$H$119,0)</f>
        <v/>
      </c>
      <c r="X16" s="202">
        <f>W16*$C16</f>
        <v/>
      </c>
      <c r="Y16" s="9" t="n"/>
      <c r="Z16" s="200">
        <f>IF(Y16="y",$H$120,0)</f>
        <v/>
      </c>
      <c r="AA16" s="202">
        <f>Z16*$C16</f>
        <v/>
      </c>
      <c r="AB16" s="238" t="n"/>
      <c r="AC16" s="200">
        <f>IF(AB16="y",$H$121,0)</f>
        <v/>
      </c>
      <c r="AD16" s="202">
        <f>AC16*$C16</f>
        <v/>
      </c>
      <c r="AE16" s="238" t="n"/>
      <c r="AF16" s="200">
        <f>IF(AE16="y",$H$122,0)</f>
        <v/>
      </c>
      <c r="AG16" s="202">
        <f>AF16*$C16</f>
        <v/>
      </c>
      <c r="AH16" s="580">
        <f>SUM(F16+I16+L16+O16+R16+U16+X16+AA16+AD16+AG16)</f>
        <v/>
      </c>
      <c r="AI16" s="69" t="n"/>
    </row>
    <row r="17" ht="14" customHeight="1" s="486">
      <c r="A17" s="209" t="n"/>
      <c r="B17" s="185" t="inlineStr">
        <is>
          <t>Colored interlayer</t>
        </is>
      </c>
      <c r="C17" s="579" t="n">
        <v>10</v>
      </c>
      <c r="D17" s="8" t="n"/>
      <c r="E17" s="200">
        <f>IF(D17="y",$H$113,0)</f>
        <v/>
      </c>
      <c r="F17" s="202">
        <f>E17*$C17</f>
        <v/>
      </c>
      <c r="G17" s="9" t="n"/>
      <c r="H17" s="200">
        <f>IF(G17="y",$H$114,0)</f>
        <v/>
      </c>
      <c r="I17" s="202">
        <f>H17*$C17</f>
        <v/>
      </c>
      <c r="J17" s="206" t="n"/>
      <c r="K17" s="200">
        <f>IF(J17="y",$H$115,0)</f>
        <v/>
      </c>
      <c r="L17" s="202">
        <f>K17*$C17</f>
        <v/>
      </c>
      <c r="M17" s="206" t="n"/>
      <c r="N17" s="200">
        <f>IF(M17="y",$H$116,0)</f>
        <v/>
      </c>
      <c r="O17" s="202">
        <f>N17*$C17</f>
        <v/>
      </c>
      <c r="P17" s="206" t="n"/>
      <c r="Q17" s="200">
        <f>IF(P17="y",$H$117,0)</f>
        <v/>
      </c>
      <c r="R17" s="202">
        <f>Q17*$C17</f>
        <v/>
      </c>
      <c r="S17" s="9" t="n"/>
      <c r="T17" s="200">
        <f>IF(S17="y",$H$118,0)</f>
        <v/>
      </c>
      <c r="U17" s="202">
        <f>T17*$C17</f>
        <v/>
      </c>
      <c r="V17" s="9" t="n"/>
      <c r="W17" s="200">
        <f>IF(V17="y",$H$119,0)</f>
        <v/>
      </c>
      <c r="X17" s="202">
        <f>W17*$C17</f>
        <v/>
      </c>
      <c r="Y17" s="9" t="n"/>
      <c r="Z17" s="200">
        <f>IF(Y17="y",$H$120,0)</f>
        <v/>
      </c>
      <c r="AA17" s="202">
        <f>Z17*$C17</f>
        <v/>
      </c>
      <c r="AB17" s="238" t="n"/>
      <c r="AC17" s="200">
        <f>IF(AB17="y",$H$121,0)</f>
        <v/>
      </c>
      <c r="AD17" s="202">
        <f>AC17*$C17</f>
        <v/>
      </c>
      <c r="AE17" s="238" t="n"/>
      <c r="AF17" s="200">
        <f>IF(AE17="y",$H$122,0)</f>
        <v/>
      </c>
      <c r="AG17" s="202">
        <f>AF17*$C17</f>
        <v/>
      </c>
      <c r="AH17" s="580">
        <f>SUM(F17+I17+L17+O17+R17+U17+X17+AA17+AD17+AG17)</f>
        <v/>
      </c>
      <c r="AI17" s="69" t="n"/>
    </row>
    <row r="18" ht="14" customHeight="1" s="486">
      <c r="A18" s="209" t="n"/>
      <c r="B18" s="5" t="inlineStr">
        <is>
          <t>Switchable Glass</t>
        </is>
      </c>
      <c r="C18" s="579" t="n">
        <v>25</v>
      </c>
      <c r="D18" s="8" t="n"/>
      <c r="E18" s="200">
        <f>IF(D18="y",$H$113,0)</f>
        <v/>
      </c>
      <c r="F18" s="202">
        <f>E18*$C18</f>
        <v/>
      </c>
      <c r="G18" s="9" t="n"/>
      <c r="H18" s="200">
        <f>IF(G18="y",$H$114,0)</f>
        <v/>
      </c>
      <c r="I18" s="202">
        <f>H18*$C18</f>
        <v/>
      </c>
      <c r="J18" s="206" t="n"/>
      <c r="K18" s="200">
        <f>IF(J18="y",$H$115,0)</f>
        <v/>
      </c>
      <c r="L18" s="202">
        <f>K18*$C18</f>
        <v/>
      </c>
      <c r="M18" s="206" t="n"/>
      <c r="N18" s="200">
        <f>IF(M18="y",$H$116,0)</f>
        <v/>
      </c>
      <c r="O18" s="202">
        <f>N18*$C18</f>
        <v/>
      </c>
      <c r="P18" s="206" t="n"/>
      <c r="Q18" s="200">
        <f>IF(P18="y",$H$117,0)</f>
        <v/>
      </c>
      <c r="R18" s="202">
        <f>Q18*$C18</f>
        <v/>
      </c>
      <c r="S18" s="9" t="n"/>
      <c r="T18" s="200">
        <f>IF(S18="y",$H$118,0)</f>
        <v/>
      </c>
      <c r="U18" s="202">
        <f>T18*$C18</f>
        <v/>
      </c>
      <c r="V18" s="9" t="n"/>
      <c r="W18" s="200">
        <f>IF(V18="y",$H$119,0)</f>
        <v/>
      </c>
      <c r="X18" s="202">
        <f>W18*$C18</f>
        <v/>
      </c>
      <c r="Y18" s="9" t="n"/>
      <c r="Z18" s="200">
        <f>IF(Y18="y",$H$120,0)</f>
        <v/>
      </c>
      <c r="AA18" s="202">
        <f>Z18*$C18</f>
        <v/>
      </c>
      <c r="AB18" s="238" t="n"/>
      <c r="AC18" s="200">
        <f>IF(AB18="y",$H$121,0)</f>
        <v/>
      </c>
      <c r="AD18" s="202">
        <f>AC18*$C18</f>
        <v/>
      </c>
      <c r="AE18" s="238" t="n"/>
      <c r="AF18" s="200">
        <f>IF(AE18="y",$H$122,0)</f>
        <v/>
      </c>
      <c r="AG18" s="202">
        <f>AF18*$C18</f>
        <v/>
      </c>
      <c r="AH18" s="580">
        <f>SUM(F18+I18+L18+O18+R18+U18+X18+AA18+AD18+AG18)</f>
        <v/>
      </c>
      <c r="AI18" s="69" t="n"/>
    </row>
    <row r="19" ht="14" customHeight="1" s="486">
      <c r="A19" s="209" t="n"/>
      <c r="B19" s="185" t="inlineStr">
        <is>
          <t>Backpaint - Add for all expedited orders</t>
        </is>
      </c>
      <c r="C19" s="581" t="n">
        <v>7.5</v>
      </c>
      <c r="D19" s="207" t="n"/>
      <c r="E19" s="200">
        <f>IF(D19="y",E64+E65,0)</f>
        <v/>
      </c>
      <c r="F19" s="202">
        <f>E19*$C19</f>
        <v/>
      </c>
      <c r="G19" s="9" t="n"/>
      <c r="H19" s="200">
        <f>IF(G19="y",H64+H65,0)</f>
        <v/>
      </c>
      <c r="I19" s="202">
        <f>H19*$C19</f>
        <v/>
      </c>
      <c r="J19" s="206" t="n"/>
      <c r="K19" s="200">
        <f>IF(J19="y",K64+K65,0)</f>
        <v/>
      </c>
      <c r="L19" s="202">
        <f>K19*$C19</f>
        <v/>
      </c>
      <c r="M19" s="206" t="n"/>
      <c r="N19" s="200">
        <f>IF(M19="y",N64+N65,0)</f>
        <v/>
      </c>
      <c r="O19" s="202">
        <f>N19*$C19</f>
        <v/>
      </c>
      <c r="P19" s="206" t="n"/>
      <c r="Q19" s="200">
        <f>IF(P19="y",Q64+Q65,0)</f>
        <v/>
      </c>
      <c r="R19" s="202">
        <f>Q19*$C19</f>
        <v/>
      </c>
      <c r="S19" s="9" t="n"/>
      <c r="T19" s="200">
        <f>IF(S19="y",T64+T65,0)</f>
        <v/>
      </c>
      <c r="U19" s="202">
        <f>T19*$C19</f>
        <v/>
      </c>
      <c r="V19" s="9" t="n"/>
      <c r="W19" s="200">
        <f>IF(V19="y",W64+W65,0)</f>
        <v/>
      </c>
      <c r="X19" s="202">
        <f>W19*$C19</f>
        <v/>
      </c>
      <c r="Y19" s="9" t="n"/>
      <c r="Z19" s="200">
        <f>IF(Y19="y",Z64+Z65,0)</f>
        <v/>
      </c>
      <c r="AA19" s="202">
        <f>Z19*$C19</f>
        <v/>
      </c>
      <c r="AB19" s="238" t="n"/>
      <c r="AC19" s="200">
        <f>IF(AB19="y",AC64+AC65,0)</f>
        <v/>
      </c>
      <c r="AD19" s="202">
        <f>AC19*$C19</f>
        <v/>
      </c>
      <c r="AE19" s="238" t="n"/>
      <c r="AF19" s="200">
        <f>IF(AE19="y",AF64+AF65,0)</f>
        <v/>
      </c>
      <c r="AG19" s="202">
        <f>AF19*$C19</f>
        <v/>
      </c>
      <c r="AH19" s="580">
        <f>SUM(F19+I19+L19+O19+R19+U19+X19+AA19+AD19+AG19)</f>
        <v/>
      </c>
      <c r="AI19" s="69" t="n"/>
    </row>
    <row r="20" ht="14" customHeight="1" s="486">
      <c r="A20" s="209" t="n"/>
      <c r="B20" s="185" t="inlineStr">
        <is>
          <t>Custom</t>
        </is>
      </c>
      <c r="C20" s="579" t="n">
        <v>20</v>
      </c>
      <c r="D20" s="207" t="n"/>
      <c r="E20" s="200">
        <f>IF(D20="y",$H$113,0)</f>
        <v/>
      </c>
      <c r="F20" s="202">
        <f>E20*$C20</f>
        <v/>
      </c>
      <c r="G20" s="206" t="n"/>
      <c r="H20" s="200">
        <f>IF(G20="y",$H$114,0)</f>
        <v/>
      </c>
      <c r="I20" s="202">
        <f>H20*$C20</f>
        <v/>
      </c>
      <c r="J20" s="206" t="n"/>
      <c r="K20" s="200">
        <f>IF(J20="y",$H$115,0)</f>
        <v/>
      </c>
      <c r="L20" s="202">
        <f>K20*$C20</f>
        <v/>
      </c>
      <c r="M20" s="206" t="n"/>
      <c r="N20" s="200">
        <f>IF(M20="y",$H$116,0)</f>
        <v/>
      </c>
      <c r="O20" s="202">
        <f>N20*$C20</f>
        <v/>
      </c>
      <c r="P20" s="206" t="n"/>
      <c r="Q20" s="200">
        <f>IF(P20="y",$H$117,0)</f>
        <v/>
      </c>
      <c r="R20" s="202">
        <f>Q20*$C20</f>
        <v/>
      </c>
      <c r="S20" s="206" t="n"/>
      <c r="T20" s="200">
        <f>IF(S20="y",$H$118,0)</f>
        <v/>
      </c>
      <c r="U20" s="202">
        <f>T20*$C20</f>
        <v/>
      </c>
      <c r="V20" s="9" t="n"/>
      <c r="W20" s="200">
        <f>IF(V20="y",$H$119,0)</f>
        <v/>
      </c>
      <c r="X20" s="202">
        <f>W20*$C20</f>
        <v/>
      </c>
      <c r="Y20" s="9" t="n"/>
      <c r="Z20" s="200">
        <f>IF(Y20="y",$H$120,0)</f>
        <v/>
      </c>
      <c r="AA20" s="202">
        <f>Z20*$C20</f>
        <v/>
      </c>
      <c r="AB20" s="238" t="n"/>
      <c r="AC20" s="200">
        <f>IF(AB20="y",$H$121,0)</f>
        <v/>
      </c>
      <c r="AD20" s="202">
        <f>AC20*$C20</f>
        <v/>
      </c>
      <c r="AE20" s="238" t="n"/>
      <c r="AF20" s="200">
        <f>IF(AE20="y",$H$122,0)</f>
        <v/>
      </c>
      <c r="AG20" s="202">
        <f>AF20*$C20</f>
        <v/>
      </c>
      <c r="AH20" s="580">
        <f>SUM(F20+I20+L20+O20+R20+U20+X20+AA20+AD20+AG20)</f>
        <v/>
      </c>
      <c r="AI20" s="69" t="n"/>
    </row>
    <row r="21" ht="14" customHeight="1" s="486">
      <c r="A21" s="209" t="n"/>
      <c r="B21" s="185" t="inlineStr">
        <is>
          <t>Embeds - Titanium</t>
        </is>
      </c>
      <c r="C21" s="579">
        <f>40+20</f>
        <v/>
      </c>
      <c r="D21" s="207" t="n"/>
      <c r="E21" s="97" t="n"/>
      <c r="F21" s="202">
        <f>E21*$C21</f>
        <v/>
      </c>
      <c r="G21" s="19" t="n"/>
      <c r="H21" s="97" t="n"/>
      <c r="I21" s="202">
        <f>H21*$C21</f>
        <v/>
      </c>
      <c r="J21" s="19" t="n"/>
      <c r="K21" s="97" t="n"/>
      <c r="L21" s="202">
        <f>K21*$C21</f>
        <v/>
      </c>
      <c r="M21" s="19" t="n"/>
      <c r="N21" s="97" t="n"/>
      <c r="O21" s="202">
        <f>N21*$C21</f>
        <v/>
      </c>
      <c r="P21" s="19" t="n"/>
      <c r="Q21" s="97" t="n"/>
      <c r="R21" s="202">
        <f>Q21*$C21</f>
        <v/>
      </c>
      <c r="S21" s="64" t="n"/>
      <c r="T21" s="97" t="n"/>
      <c r="U21" s="202">
        <f>T21*$C21</f>
        <v/>
      </c>
      <c r="V21" s="19" t="n"/>
      <c r="W21" s="97" t="n"/>
      <c r="X21" s="202">
        <f>W21*$C21</f>
        <v/>
      </c>
      <c r="Y21" s="19" t="n"/>
      <c r="Z21" s="97" t="n"/>
      <c r="AA21" s="202">
        <f>Z21*$C21</f>
        <v/>
      </c>
      <c r="AB21" s="237" t="n"/>
      <c r="AC21" s="238" t="n"/>
      <c r="AD21" s="202">
        <f>AC21*$C21</f>
        <v/>
      </c>
      <c r="AE21" s="237" t="n"/>
      <c r="AF21" s="238" t="n"/>
      <c r="AG21" s="202">
        <f>AF21*$C21</f>
        <v/>
      </c>
      <c r="AH21" s="580">
        <f>SUM(F21+I21+L21+O21+R21+U21+X21+AA21+AD21+AG21)</f>
        <v/>
      </c>
      <c r="AI21" s="69" t="n"/>
    </row>
    <row r="22" ht="14" customHeight="1" s="486">
      <c r="A22" s="209" t="n"/>
      <c r="B22" s="5" t="inlineStr">
        <is>
          <t>Mounting holes (per hole cost)</t>
        </is>
      </c>
      <c r="C22" s="579" t="n">
        <v>6</v>
      </c>
      <c r="D22" s="18" t="n"/>
      <c r="E22" s="97" t="n"/>
      <c r="F22" s="202">
        <f>E22*$C22</f>
        <v/>
      </c>
      <c r="G22" s="19" t="n"/>
      <c r="H22" s="97" t="n"/>
      <c r="I22" s="202">
        <f>H22*$C22</f>
        <v/>
      </c>
      <c r="J22" s="19" t="n"/>
      <c r="K22" s="97" t="n"/>
      <c r="L22" s="202">
        <f>K22*$C22</f>
        <v/>
      </c>
      <c r="M22" s="19" t="n"/>
      <c r="N22" s="97" t="n"/>
      <c r="O22" s="202">
        <f>N22*$C22</f>
        <v/>
      </c>
      <c r="P22" s="19" t="n"/>
      <c r="Q22" s="97" t="n"/>
      <c r="R22" s="202">
        <f>Q22*$C22</f>
        <v/>
      </c>
      <c r="S22" s="64" t="n"/>
      <c r="T22" s="97" t="n"/>
      <c r="U22" s="202">
        <f>T22*$C22</f>
        <v/>
      </c>
      <c r="V22" s="19" t="n"/>
      <c r="W22" s="97" t="n"/>
      <c r="X22" s="202">
        <f>W22*$C22</f>
        <v/>
      </c>
      <c r="Y22" s="19" t="n"/>
      <c r="Z22" s="97" t="n"/>
      <c r="AA22" s="202">
        <f>Z22*$C22</f>
        <v/>
      </c>
      <c r="AB22" s="237" t="n"/>
      <c r="AC22" s="238" t="n"/>
      <c r="AD22" s="202">
        <f>AC22*$C22</f>
        <v/>
      </c>
      <c r="AE22" s="237" t="n"/>
      <c r="AF22" s="238" t="n"/>
      <c r="AG22" s="202">
        <f>AF22*$C22</f>
        <v/>
      </c>
      <c r="AH22" s="580">
        <f>SUM(F22+I22+L22+O22+R22+U22+X22+AA22+AD22+AG22)</f>
        <v/>
      </c>
      <c r="AI22" s="69" t="n"/>
    </row>
    <row r="23" ht="14" customHeight="1" s="486">
      <c r="B23" s="5" t="inlineStr">
        <is>
          <t>Custom shapes</t>
        </is>
      </c>
      <c r="C23" s="155" t="n">
        <v>0.4</v>
      </c>
      <c r="D23" s="8" t="n"/>
      <c r="E23" s="14" t="n"/>
      <c r="F23" s="10">
        <f>E23*$C23</f>
        <v/>
      </c>
      <c r="G23" s="9" t="n"/>
      <c r="H23" s="14" t="n"/>
      <c r="I23" s="10">
        <f>H23*$C23</f>
        <v/>
      </c>
      <c r="J23" s="9" t="n"/>
      <c r="K23" s="14" t="n"/>
      <c r="L23" s="10">
        <f>K23*$C23</f>
        <v/>
      </c>
      <c r="M23" s="9" t="n"/>
      <c r="N23" s="14" t="n"/>
      <c r="O23" s="10">
        <f>N23*$C23</f>
        <v/>
      </c>
      <c r="P23" s="9" t="n"/>
      <c r="Q23" s="14" t="n"/>
      <c r="R23" s="10">
        <f>Q23*$C23</f>
        <v/>
      </c>
      <c r="S23" s="63" t="n"/>
      <c r="T23" s="14" t="n"/>
      <c r="U23" s="10">
        <f>T23*$C23</f>
        <v/>
      </c>
      <c r="V23" s="9" t="n"/>
      <c r="W23" s="14" t="n"/>
      <c r="X23" s="10">
        <f>W23*$C23</f>
        <v/>
      </c>
      <c r="Y23" s="9" t="n"/>
      <c r="Z23" s="14" t="n"/>
      <c r="AA23" s="10">
        <f>Z23*$C23</f>
        <v/>
      </c>
      <c r="AB23" s="237" t="n"/>
      <c r="AC23" s="237" t="n"/>
      <c r="AD23" s="237" t="n"/>
      <c r="AE23" s="237" t="n"/>
      <c r="AF23" s="237" t="n"/>
      <c r="AG23" s="237" t="n"/>
      <c r="AH23" s="580">
        <f>SUM(F23+I23+L23+O23+R23+U23+X23+AA23+AD23+AG23)</f>
        <v/>
      </c>
      <c r="AI23" s="69" t="n"/>
    </row>
    <row r="24" ht="14" customHeight="1" s="486">
      <c r="B24" s="5" t="inlineStr">
        <is>
          <t>Round Glass</t>
        </is>
      </c>
      <c r="C24" s="155" t="n">
        <v>0.2</v>
      </c>
      <c r="D24" s="8" t="n"/>
      <c r="E24" s="14" t="n"/>
      <c r="F24" s="10">
        <f>IF(D24="Y",F9*$C$24,"")</f>
        <v/>
      </c>
      <c r="G24" s="9" t="n"/>
      <c r="H24" s="14" t="n"/>
      <c r="I24" s="10">
        <f>IF(G24="Y",I9*$C$24,"")</f>
        <v/>
      </c>
      <c r="J24" s="9" t="n"/>
      <c r="K24" s="14" t="n"/>
      <c r="L24" s="10">
        <f>IF(J24="Y",L9*$C$24,"")</f>
        <v/>
      </c>
      <c r="M24" s="9" t="n"/>
      <c r="N24" s="14" t="n"/>
      <c r="O24" s="10">
        <f>IF(M24="Y",O9*$C$24,"")</f>
        <v/>
      </c>
      <c r="P24" s="9" t="n"/>
      <c r="Q24" s="14" t="n"/>
      <c r="R24" s="10">
        <f>IF(P24="Y",R9*$C$24,"")</f>
        <v/>
      </c>
      <c r="S24" s="63" t="n"/>
      <c r="T24" s="14" t="n"/>
      <c r="U24" s="10">
        <f>IF(S24="Y",U9*$C$24,"")</f>
        <v/>
      </c>
      <c r="V24" s="9" t="n"/>
      <c r="W24" s="14" t="n"/>
      <c r="X24" s="10">
        <f>IF(V24="Y",X9*$C$24,"")</f>
        <v/>
      </c>
      <c r="Y24" s="9" t="n"/>
      <c r="Z24" s="14" t="n"/>
      <c r="AA24" s="10">
        <f>IF(Y24="Y",AA9*$C$24,"")</f>
        <v/>
      </c>
      <c r="AB24" s="237" t="n"/>
      <c r="AC24" s="237" t="n"/>
      <c r="AD24" s="237" t="n"/>
      <c r="AE24" s="237" t="n"/>
      <c r="AF24" s="237" t="n"/>
      <c r="AG24" s="237" t="n"/>
      <c r="AH24" s="580">
        <f>SUM(F24+I24+L24+O24+R24+U24+X24+AA24+AD24+AG24)</f>
        <v/>
      </c>
      <c r="AI24" s="69" t="n"/>
    </row>
    <row r="25" ht="14" customHeight="1" s="486">
      <c r="A25" s="209" t="n"/>
      <c r="B25" s="185" t="inlineStr">
        <is>
          <t>Misc Hardware</t>
        </is>
      </c>
      <c r="C25" s="155" t="n"/>
      <c r="D25" s="8" t="n"/>
      <c r="E25" s="97" t="n"/>
      <c r="F25" s="10" t="n"/>
      <c r="G25" s="9" t="n"/>
      <c r="H25" s="97" t="n"/>
      <c r="I25" s="10" t="n"/>
      <c r="J25" s="9" t="n"/>
      <c r="K25" s="97" t="n"/>
      <c r="L25" s="10" t="n"/>
      <c r="M25" s="9" t="n"/>
      <c r="N25" s="97" t="n"/>
      <c r="O25" s="10" t="n"/>
      <c r="P25" s="9" t="n"/>
      <c r="Q25" s="97" t="n"/>
      <c r="R25" s="10" t="n"/>
      <c r="S25" s="63" t="n"/>
      <c r="T25" s="97" t="n"/>
      <c r="U25" s="10" t="n"/>
      <c r="V25" s="9" t="n"/>
      <c r="W25" s="97" t="n"/>
      <c r="X25" s="10" t="n"/>
      <c r="Y25" s="9" t="n"/>
      <c r="Z25" s="97" t="n"/>
      <c r="AA25" s="10" t="n"/>
      <c r="AB25" s="237" t="n"/>
      <c r="AC25" s="237" t="n"/>
      <c r="AD25" s="237" t="n"/>
      <c r="AE25" s="237" t="n"/>
      <c r="AF25" s="237" t="n"/>
      <c r="AG25" s="237" t="n"/>
      <c r="AH25" s="580">
        <f>SUM(F25+I25+L25+O25+R25+U25+X25+AA25+AD25+AG25)</f>
        <v/>
      </c>
      <c r="AI25" s="69" t="n"/>
    </row>
    <row r="26" ht="14" customHeight="1" s="486">
      <c r="A26" s="209" t="n"/>
      <c r="B26" s="165" t="inlineStr">
        <is>
          <t>Railings</t>
        </is>
      </c>
      <c r="C26" s="177" t="n"/>
      <c r="D26" s="18" t="n"/>
      <c r="E26" s="20" t="n"/>
      <c r="F26" s="19" t="n"/>
      <c r="G26" s="19" t="n"/>
      <c r="H26" s="20" t="n"/>
      <c r="I26" s="19" t="n"/>
      <c r="J26" s="19" t="n"/>
      <c r="K26" s="20" t="n"/>
      <c r="L26" s="19" t="n"/>
      <c r="M26" s="19" t="n"/>
      <c r="N26" s="20" t="n"/>
      <c r="O26" s="19" t="n"/>
      <c r="P26" s="19" t="n"/>
      <c r="Q26" s="20" t="n"/>
      <c r="R26" s="19" t="n"/>
      <c r="S26" s="64" t="n"/>
      <c r="T26" s="20" t="n"/>
      <c r="U26" s="19" t="n"/>
      <c r="V26" s="19" t="n"/>
      <c r="W26" s="20" t="n"/>
      <c r="X26" s="19" t="n"/>
      <c r="Y26" s="19" t="n"/>
      <c r="Z26" s="20" t="n"/>
      <c r="AA26" s="19" t="n"/>
      <c r="AB26" s="236" t="n"/>
      <c r="AC26" s="236" t="n"/>
      <c r="AD26" s="236" t="n"/>
      <c r="AE26" s="236" t="n"/>
      <c r="AF26" s="236" t="n"/>
      <c r="AG26" s="236" t="n"/>
      <c r="AH26" s="580" t="n"/>
      <c r="AI26" s="69" t="n"/>
    </row>
    <row r="27" ht="14" customHeight="1" s="486">
      <c r="A27" s="209" t="n"/>
      <c r="B27" s="5" t="inlineStr">
        <is>
          <t>How many sides need railings</t>
        </is>
      </c>
      <c r="C27" s="211" t="n"/>
      <c r="D27" s="18" t="n"/>
      <c r="E27" s="20" t="n"/>
      <c r="F27" s="19" t="n"/>
      <c r="G27" s="19" t="n"/>
      <c r="H27" s="20" t="n"/>
      <c r="I27" s="19" t="n"/>
      <c r="J27" s="19" t="n"/>
      <c r="K27" s="20" t="n"/>
      <c r="L27" s="19" t="n"/>
      <c r="M27" s="19" t="n"/>
      <c r="N27" s="20" t="n"/>
      <c r="O27" s="19" t="n"/>
      <c r="P27" s="19" t="n"/>
      <c r="Q27" s="20" t="n"/>
      <c r="R27" s="19" t="n"/>
      <c r="S27" s="212" t="n"/>
      <c r="T27" s="20" t="n"/>
      <c r="U27" s="19" t="n"/>
      <c r="V27" s="19" t="n"/>
      <c r="W27" s="20" t="n"/>
      <c r="X27" s="19" t="n"/>
      <c r="Y27" s="19" t="n"/>
      <c r="Z27" s="20" t="n"/>
      <c r="AA27" s="19" t="n"/>
      <c r="AB27" s="236" t="n"/>
      <c r="AC27" s="236" t="n"/>
      <c r="AD27" s="236" t="n"/>
      <c r="AE27" s="236" t="n"/>
      <c r="AF27" s="236" t="n"/>
      <c r="AG27" s="236" t="n"/>
      <c r="AH27" s="580" t="n"/>
      <c r="AI27" s="69" t="n"/>
    </row>
    <row r="28" ht="14" customHeight="1" s="486">
      <c r="A28" s="209" t="n"/>
      <c r="B28" s="219" t="n"/>
      <c r="C28" s="221" t="inlineStr">
        <is>
          <t>Width (Short Side)</t>
        </is>
      </c>
      <c r="D28" s="8" t="n"/>
      <c r="E28" s="20" t="n"/>
      <c r="F28" s="220" t="inlineStr">
        <is>
          <t>Width (Short Side)</t>
        </is>
      </c>
      <c r="G28" s="8" t="n"/>
      <c r="H28" s="20" t="n"/>
      <c r="I28" s="222" t="inlineStr">
        <is>
          <t>Width (Short Side)</t>
        </is>
      </c>
      <c r="J28" s="8" t="n"/>
      <c r="K28" s="20" t="n"/>
      <c r="L28" s="222" t="inlineStr">
        <is>
          <t>Width (Short Side)</t>
        </is>
      </c>
      <c r="M28" s="8" t="n"/>
      <c r="N28" s="20" t="n"/>
      <c r="O28" s="220" t="inlineStr">
        <is>
          <t>Width (Short Side)</t>
        </is>
      </c>
      <c r="P28" s="8" t="n"/>
      <c r="Q28" s="20" t="n"/>
      <c r="R28" s="220" t="inlineStr">
        <is>
          <t>Width (Short Side)</t>
        </is>
      </c>
      <c r="S28" s="207" t="n"/>
      <c r="T28" s="20" t="n"/>
      <c r="U28" s="220" t="inlineStr">
        <is>
          <t>Width (Short Side)</t>
        </is>
      </c>
      <c r="V28" s="8" t="n"/>
      <c r="W28" s="20" t="n"/>
      <c r="X28" s="220" t="inlineStr">
        <is>
          <t>Width (Short Side)</t>
        </is>
      </c>
      <c r="Y28" s="8" t="n"/>
      <c r="Z28" s="20" t="n"/>
      <c r="AA28" s="220" t="inlineStr">
        <is>
          <t>Width (Short Side)</t>
        </is>
      </c>
      <c r="AB28" s="8" t="n"/>
      <c r="AC28" s="236" t="n"/>
      <c r="AD28" s="220" t="inlineStr">
        <is>
          <t>Width (Short Side)</t>
        </is>
      </c>
      <c r="AE28" s="8" t="n"/>
      <c r="AF28" s="236" t="n"/>
      <c r="AG28" s="220" t="inlineStr">
        <is>
          <t>Width (Short Side)</t>
        </is>
      </c>
      <c r="AH28" s="580" t="n"/>
      <c r="AI28" s="69" t="n"/>
    </row>
    <row r="29" ht="14" customHeight="1" s="486">
      <c r="A29" s="209" t="n"/>
      <c r="B29" s="219" t="n"/>
      <c r="C29" s="221" t="inlineStr">
        <is>
          <t>Length (Long Side)</t>
        </is>
      </c>
      <c r="D29" s="8" t="n"/>
      <c r="E29" s="20" t="n"/>
      <c r="F29" s="220" t="inlineStr">
        <is>
          <t>Length (Long Side)</t>
        </is>
      </c>
      <c r="G29" s="8" t="n"/>
      <c r="H29" s="20" t="n"/>
      <c r="I29" s="220" t="inlineStr">
        <is>
          <t>Length (Long Side)</t>
        </is>
      </c>
      <c r="J29" s="8" t="n"/>
      <c r="K29" s="20" t="n"/>
      <c r="L29" s="222" t="inlineStr">
        <is>
          <t>Length (Long Side)</t>
        </is>
      </c>
      <c r="M29" s="8" t="n"/>
      <c r="N29" s="20" t="n"/>
      <c r="O29" s="220" t="inlineStr">
        <is>
          <t>Length (Long Side)</t>
        </is>
      </c>
      <c r="P29" s="8" t="n"/>
      <c r="Q29" s="20" t="n"/>
      <c r="R29" s="220" t="inlineStr">
        <is>
          <t>Length (Long Side)</t>
        </is>
      </c>
      <c r="S29" s="207" t="n"/>
      <c r="T29" s="20" t="n"/>
      <c r="U29" s="220" t="inlineStr">
        <is>
          <t>Length (Long Side)</t>
        </is>
      </c>
      <c r="V29" s="8" t="n"/>
      <c r="W29" s="20" t="n"/>
      <c r="X29" s="220" t="inlineStr">
        <is>
          <t>Length (Long Side)</t>
        </is>
      </c>
      <c r="Y29" s="8" t="n"/>
      <c r="Z29" s="20" t="n"/>
      <c r="AA29" s="220" t="inlineStr">
        <is>
          <t>Length (Long Side)</t>
        </is>
      </c>
      <c r="AB29" s="8" t="n"/>
      <c r="AC29" s="236" t="n"/>
      <c r="AD29" s="220" t="inlineStr">
        <is>
          <t>Length (Long Side)</t>
        </is>
      </c>
      <c r="AE29" s="8" t="n"/>
      <c r="AF29" s="236" t="n"/>
      <c r="AG29" s="220" t="inlineStr">
        <is>
          <t>Length (Long Side)</t>
        </is>
      </c>
      <c r="AH29" s="580" t="n"/>
      <c r="AI29" s="69" t="n"/>
    </row>
    <row r="30" ht="14" customHeight="1" s="486">
      <c r="A30" s="209" t="n"/>
      <c r="B30" s="185" t="inlineStr">
        <is>
          <t>Mounting bracket for post</t>
        </is>
      </c>
      <c r="C30" s="579" t="n">
        <v>150</v>
      </c>
      <c r="D30" s="207" t="n"/>
      <c r="E30" s="210">
        <f>IF(AND($D$28=0,$D$29=1),($K113+2),IF(AND($D$28=0,$D$29=2),(($K113*2)+4),IF(AND($D$28=1,$D$29=0),($L113+2),IF(AND($D$28=1,$D$29=1),($K113+$L113+3),IF(AND($D$28=1,$D$29=2),(($K113*2)+4+$L113),IF(AND($D$28=2,$D$29=0),(($L113*2)+4),IF(AND($D$28=2,$D$29=1),($K113+($L113*2)+4),IF(AND($D$28=2,$D$29=2),(($K113*2)+($L113*2)+4),"No Railings"))))))))</f>
        <v/>
      </c>
      <c r="F30" s="202">
        <f>IF(D30="Y",$C$30*E30,"")</f>
        <v/>
      </c>
      <c r="G30" s="207" t="n"/>
      <c r="H30" s="210">
        <f>IF(AND($G$28=0,$G$29=1),($K114+2),IF(AND($G$28=0,$G$29=2),(($K114*2)+4),IF(AND($G$28=1,$G$29=0),($L114+2),IF(AND($G$28=1,$G$29=1),($K114+$L114+3),IF(AND($G$28=1,$G$29=2),(($K114*2)+4+$L114),IF(AND($G$28=2,$G$29=0),(($L114*2)+4),IF(AND($G$28=2,$G$29=1),($K114+($L114*2)+4),IF(AND($G$28=2,$G$29=2),(($K114*2)+($L114*2)+4),"No Railings"))))))))</f>
        <v/>
      </c>
      <c r="I30" s="202">
        <f>IF(G30="Y",$C$30*H30,"")</f>
        <v/>
      </c>
      <c r="J30" s="207" t="n"/>
      <c r="K30" s="210">
        <f>IF(AND(J28=0,J29=1),($K115+2),IF(AND(J28=1,J29=0),($L115+2),IF(AND(J28=0,J29=2),(($K115*2)+4),IF(AND(J28=1,J29=0),($L115+2),IF(AND(J28=1,J29=1),($K115+2+$L115+1),IF(AND(J28=1,J29=2),(($K115*2)+4+$L115),IF(AND(J28=2,J29=0),(($L115*2)+4),IF(AND(J28=2,J29=1),($K115+2+($L115*2)+2),IF(AND(J28=2,J29=2),(($K115*2)+($L115*2)+4),"No Railings")))))))))</f>
        <v/>
      </c>
      <c r="L30" s="202">
        <f>IF(J30="Y",$C$30*K30,"")</f>
        <v/>
      </c>
      <c r="M30" s="207" t="n"/>
      <c r="N30" s="210">
        <f>IF(AND(M28=0,M29=1),($K116+2),IF(AND(M28=1,M29=0),($L116+2),IF(AND(M28=0,M29=2),(($K116*2)+4),IF(AND(M28=1,M29=0),($L116+2),IF(AND(M28=1,M29=1),($K116+2+$L116+1),IF(AND(M28=1,M29=2),(($K116*2)+4+$L116),IF(AND(M28=2,M29=0),(($L116*2)+4),IF(AND(M28=2,M29=1),($K116+2+($L116*2)+2),IF(AND(M28=2,M29=2),(($K116*2)+($L116*2)+4),"No Railings")))))))))</f>
        <v/>
      </c>
      <c r="O30" s="202">
        <f>IF(M30="Y",$C$30*N30,"")</f>
        <v/>
      </c>
      <c r="P30" s="207" t="n"/>
      <c r="Q30" s="210">
        <f>IF(AND(P28=0,P29=1),($K117+2),IF(AND(P28=1,P29=0),($L117+2),IF(AND(P28=0,P29=2),(($K117*2)+4),IF(AND(P28=1,P29=0),($L117+2),IF(AND(P28=1,P29=1),($K117+2+$L117+1),IF(AND(P28=1,P29=2),(($K117*2)+4+$L117),IF(AND(P28=2,P29=0),(($L117*2)+4),IF(AND(P28=2,P29=1),($K117+2+($L117*2)+2),IF(AND(P28=2,P29=2),(($K117*2)+($L117*2)+4),"No Railings")))))))))</f>
        <v/>
      </c>
      <c r="R30" s="202">
        <f>IF(P30="Y",$C$30*Q30,"")</f>
        <v/>
      </c>
      <c r="S30" s="207" t="n"/>
      <c r="T30" s="210">
        <f>IF(AND(S28=0,S29=1),($K118+2),IF(AND(S28=1,S29=0),($L118+2),IF(AND(S28=0,S29=2),(($K118*2)+4),IF(AND(S28=1,S29=0),($L118+2),IF(AND(S28=1,S29=1),($K118+2+$L118+1),IF(AND(S28=1,S29=2),(($K118*2)+4+$L118),IF(AND(S28=2,S29=0),(($L118*2)+4),IF(AND(S28=2,S29=1),($K118+2+($L118*2)+2),IF(AND(S28=2,S29=2),(($K118*2)+($L118*2)+4),"No Railings")))))))))</f>
        <v/>
      </c>
      <c r="U30" s="202">
        <f>IF(S30="Y",$C$30*T30,"")</f>
        <v/>
      </c>
      <c r="V30" s="8" t="n"/>
      <c r="W30" s="210">
        <f>IF(AND(V28=0,V29=1),($K119+2),IF(AND(V28=1,V29=0),($L119+2),IF(AND(V28=0,V29=2),(($K119*2)+4),IF(AND(V28=1,V29=0),($L119+2),IF(AND(V28=1,V29=1),($K119+2+$L119+1),IF(AND(V28=1,V29=2),(($K119*2)+4+$L119),IF(AND(V28=2,V29=0),(($L119*2)+4),IF(AND(V28=2,V29=1),($K119+2+($L119*2)+2),IF(AND(V28=2,V29=2),(($K119*2)+($L119*2)+4),"No Railings")))))))))</f>
        <v/>
      </c>
      <c r="X30" s="202">
        <f>IF(V30="Y",$C$30*W30,"")</f>
        <v/>
      </c>
      <c r="Y30" s="207" t="n"/>
      <c r="Z30" s="210">
        <f>IF(AND(Y28=0,Y29=1),($K120+2),IF(AND(Y28=1,Y29=0),($L120+2),IF(AND(Y28=0,Y29=2),(($K120*2)+4),IF(AND(Y28=1,Y29=0),($L120+2),IF(AND(Y28=1,Y29=1),($K120+2+$L120+1),IF(AND(Y28=1,Y29=2),(($K120*2)+4+$L120),IF(AND(Y28=2,Y29=0),(($L120*2)+4),IF(AND(Y28=2,Y29=1),($K120+2+($L120*2)+2),IF(AND(Y28=2,Y29=2),(($K120*2)+($L120*2)+4),"No Railings")))))))))</f>
        <v/>
      </c>
      <c r="AA30" s="202">
        <f>IF(Y30="Y",$C$30*Z30,"")</f>
        <v/>
      </c>
      <c r="AB30" s="249" t="n"/>
      <c r="AC30" s="210">
        <f>IF(AND(AB28=0,AB29=1),($K121+2),IF(AND(AB28=1,AB29=0),($L121+2),IF(AND(AB28=0,AB29=2),(($K121*2)+4),IF(AND(AB28=1,AB29=0),($L121+2),IF(AND(AB28=1,AB29=1),($K121+2+$L121+1),IF(AND(AB28=1,AB29=2),(($K121*2)+4+$L121),IF(AND(AB28=2,AB29=0),(($L121*2)+4),IF(AND(AB28=2,AB29=1),($K121+2+($L121*2)+2),IF(AND(AB28=2,AB29=2),(($K121*2)+($L121*2)+4),"No Railings")))))))))</f>
        <v/>
      </c>
      <c r="AD30" s="202">
        <f>IF(AB30="Y",$C$30*AC30,"")</f>
        <v/>
      </c>
      <c r="AE30" s="238" t="n"/>
      <c r="AF30" s="210">
        <f>IF(AND(AE28=0,AE29=1),($K122+2),IF(AND(AE28=1,AE29=0),($L122+2),IF(AND(AE28=0,AE29=2),(($K122*2)+4),IF(AND(AE28=1,AE29=0),($L122+2),IF(AND(AE28=1,AE29=1),($K122+2+$L122+1),IF(AND(AE28=1,AE29=2),(($K122*2)+4+$L122),IF(AND(AE28=2,AE29=0),(($L122*2)+4),IF(AND(AE28=2,AE29=1),($K122+2+($L122*2)+2),IF(AND(AE28=2,AE29=2),(($K122*2)+($L122*2)+4),"No Railings")))))))))</f>
        <v/>
      </c>
      <c r="AG30" s="202">
        <f>IF(AE30="Y",$C$30*AF30,"")</f>
        <v/>
      </c>
      <c r="AH30" s="580">
        <f>SUM(F30+I30+L30+O30+R30+U30+X30+AA30+AD30+AG30)</f>
        <v/>
      </c>
      <c r="AI30" s="69" t="n"/>
    </row>
    <row r="31" ht="14" customHeight="1" s="486">
      <c r="A31" s="209" t="n"/>
      <c r="B31" s="5" t="inlineStr">
        <is>
          <t>Uprights</t>
        </is>
      </c>
      <c r="C31" s="579" t="n">
        <v>200</v>
      </c>
      <c r="D31" s="207" t="n"/>
      <c r="E31" s="210">
        <f>IF(AND($D$28=0,$D$29=1),($K113+2),IF(AND($D$28=0,$D$29=2),(($K113*2)+4),IF(AND($D$28=1,$D$29=0),($L113+2),IF(AND($D$28=1,$D$29=1),($K113+$L113+3),IF(AND($D$28=1,$D$29=2),(($K113*2)+4+$L113),IF(AND($D$28=2,$D$29=0),(($L113*2)+4),IF(AND($D$28=2,$D$29=1),($K113+($L113*2)+4),IF(AND($D$28=2,$D$29=2),(($K113*2)+($L113*2)+4),"No Railings"))))))))</f>
        <v/>
      </c>
      <c r="F31" s="202">
        <f>IF(D31="Y",$C$31*E31,"")</f>
        <v/>
      </c>
      <c r="G31" s="206" t="n"/>
      <c r="H31" s="210">
        <f>IF(AND(G28=0,G29=1),($K114+2),IF(AND(G28=1,G29=0),($L114+2),IF(AND(G28=0,G29=2),(($K114*2)+4),IF(AND(G28=1,G29=0),($L114+2),IF(AND(G28=1,G29=1),($K114+2+$L114+1),IF(AND(G28=1,G29=2),(($K114*2)+4+$L114),IF(AND(G28=2,G29=0),(($L114*2)+4),IF(AND(G28=2,G29=1),($K114+2+($L114*2)+2),IF(AND(G28=2,G29=2),(($K114*2)+($L114*2)+4),"No Railings")))))))))</f>
        <v/>
      </c>
      <c r="I31" s="202">
        <f>IF(G31="Y",$C$31*H31,"")</f>
        <v/>
      </c>
      <c r="J31" s="206" t="n"/>
      <c r="K31" s="210">
        <f>IF(AND(J28=0,J29=1),($K115+2),IF(AND(J28=1,J29=0),($L115+2),IF(AND(J28=0,J29=2),(($K115*2)+4),IF(AND(J28=1,J29=0),($L115+2),IF(AND(J28=1,J29=1),($K115+2+$L115+1),IF(AND(J28=1,J29=2),(($K115*2)+4+$L115),IF(AND(J28=2,J29=0),(($L115*2)+4),IF(AND(J28=2,J29=1),($K115+2+($L115*2)+2),IF(AND(J28=2,J29=2),(($K115*2)+($L115*2)+4),"No Railings")))))))))</f>
        <v/>
      </c>
      <c r="L31" s="202">
        <f>IF(J31="Y",$C$31*K31,"")</f>
        <v/>
      </c>
      <c r="M31" s="206" t="n"/>
      <c r="N31" s="210">
        <f>IF(AND(M28=0,M29=1),($K116+2),IF(AND(M28=1,M29=0),($L116+2),IF(AND(M28=0,M29=2),(($K116*2)+4),IF(AND(M28=1,M29=0),($L116+2),IF(AND(M28=1,M29=1),($K116+2+$L116+1),IF(AND(M28=1,M29=2),(($K116*2)+4+$L116),IF(AND(M28=2,M29=0),(($L116*2)+4),IF(AND(M28=2,M29=1),($K116+2+($L116*2)+2),IF(AND(M28=2,M29=2),(($K116*2)+($L116*2)+4),"No Railings")))))))))</f>
        <v/>
      </c>
      <c r="O31" s="202">
        <f>IF(M31="Y",$C$31*N31,"")</f>
        <v/>
      </c>
      <c r="P31" s="206" t="n"/>
      <c r="Q31" s="210">
        <f>IF(AND(P28=0,P29=1),($K117+2),IF(AND(P28=1,P29=0),($L117+2),IF(AND(P28=0,P29=2),(($K117*2)+4),IF(AND(P28=1,P29=0),($L117+2),IF(AND(P28=1,P29=1),($K117+2+$L117+1),IF(AND(P28=1,P29=2),(($K117*2)+4+$L117),IF(AND(P28=2,P29=0),(($L117*2)+4),IF(AND(P28=2,P29=1),($K117+2+($L117*2)+2),IF(AND(P28=2,P29=2),(($K117*2)+($L117*2)+4),"No Railings")))))))))</f>
        <v/>
      </c>
      <c r="R31" s="202">
        <f>IF(P31="Y",$C$31*Q31,"")</f>
        <v/>
      </c>
      <c r="S31" s="206" t="n"/>
      <c r="T31" s="210">
        <f>IF(AND(S28=0,S29=1),($K118+2),IF(AND(S28=1,S29=0),($L118+2),IF(AND(S28=0,S29=2),(($K118*2)+4),IF(AND(S28=1,S29=0),($L118+2),IF(AND(S28=1,S29=1),($K118+2+$L118+1),IF(AND(S28=1,S29=2),(($K118*2)+4+$L118),IF(AND(S28=2,S29=0),(($L118*2)+4),IF(AND(S28=2,S29=1),($K118+2+($L118*2)+2),IF(AND(S28=2,S29=2),(($K118*2)+($L118*2)+4),"No Railings")))))))))</f>
        <v/>
      </c>
      <c r="U31" s="202">
        <f>IF(S31="Y",$C$31*T31,"")</f>
        <v/>
      </c>
      <c r="V31" s="9" t="n"/>
      <c r="W31" s="210">
        <f>IF(AND(V28=0,V29=1),($K119+2),IF(AND(V28=1,V29=0),($L119+2),IF(AND(V28=0,V29=2),(($K119*2)+4),IF(AND(V28=1,V29=0),($L119+2),IF(AND(V28=1,V29=1),($K119+2+$L119+1),IF(AND(V28=1,V29=2),(($K119*2)+4+$L119),IF(AND(V28=2,V29=0),(($L119*2)+4),IF(AND(V28=2,V29=1),($K119+2+($L119*2)+2),IF(AND(V28=2,V29=2),(($K119*2)+($L119*2)+4),"No Railings")))))))))</f>
        <v/>
      </c>
      <c r="X31" s="202">
        <f>IF(V31="Y",$C$31*W31,"")</f>
        <v/>
      </c>
      <c r="Y31" s="206" t="n"/>
      <c r="Z31" s="210">
        <f>IF(AND(Y28=0,Y29=1),($K120+2),IF(AND(Y28=1,Y29=0),($L120+2),IF(AND(Y28=0,Y29=2),(($K120*2)+4),IF(AND(Y28=1,Y29=0),($L120+2),IF(AND(Y28=1,Y29=1),($K120+2+$L120+1),IF(AND(Y28=1,Y29=2),(($K120*2)+4+$L120),IF(AND(Y28=2,Y29=0),(($L120*2)+4),IF(AND(Y28=2,Y29=1),($K120+2+($L120*2)+2),IF(AND(Y28=2,Y29=2),(($K120*2)+($L120*2)+4),"No Railings")))))))))</f>
        <v/>
      </c>
      <c r="AA31" s="202">
        <f>IF(Y31="Y",$C$31*Z31,"")</f>
        <v/>
      </c>
      <c r="AB31" s="249" t="n"/>
      <c r="AC31" s="210">
        <f>IF(AND(AB28=0,AB29=1),($K121+2),IF(AND(AB28=1,AB29=0),($L121+2),IF(AND(AB28=0,AB29=2),(($K121*2)+4),IF(AND(AB28=1,AB29=0),($L121+2),IF(AND(AB28=1,AB29=1),($K121+2+$L121+1),IF(AND(AB28=1,AB29=2),(($K121*2)+4+$L121),IF(AND(AB28=2,AB29=0),(($L121*2)+4),IF(AND(AB28=2,AB29=1),($K121+2+($L121*2)+2),IF(AND(AB28=2,AB29=2),(($K121*2)+($L121*2)+4),"No Railings")))))))))</f>
        <v/>
      </c>
      <c r="AD31" s="202">
        <f>IF(AB31="Y",$C$31*AC31,"")</f>
        <v/>
      </c>
      <c r="AE31" s="238" t="n"/>
      <c r="AF31" s="210">
        <f>IF(AND(AE28=0,AE29=1),($K122+2),IF(AND(AE28=1,AE29=0),($L122+2),IF(AND(AE28=0,AE29=2),(($K122*2)+4),IF(AND(AE28=1,AE29=0),($L122+2),IF(AND(AE28=1,AE29=1),($K122+2+$L122+1),IF(AND(AE28=1,AE29=2),(($K122*2)+4+$L122),IF(AND(AE28=2,AE29=0),(($L122*2)+4),IF(AND(AE28=2,AE29=1),($K122+2+($L122*2)+2),IF(AND(AE28=2,AE29=2),(($K122*2)+($L122*2)+4),"No Railings")))))))))</f>
        <v/>
      </c>
      <c r="AG31" s="202">
        <f>IF(AE31="Y",$C$31*AF31,"")</f>
        <v/>
      </c>
      <c r="AH31" s="580">
        <f>SUM(F31+I31+L31+O31+R31+U31+X31+AA31+AD31+AG31)</f>
        <v/>
      </c>
      <c r="AI31" s="69" t="n"/>
    </row>
    <row r="32" ht="14" customHeight="1" s="486">
      <c r="A32" s="209" t="n"/>
      <c r="B32" s="5" t="inlineStr">
        <is>
          <t>Cable Railing - per linear foot</t>
        </is>
      </c>
      <c r="C32" s="579" t="n">
        <v>55</v>
      </c>
      <c r="D32" s="207" t="n"/>
      <c r="E32" s="210">
        <f>IF(AND($D$28=0,$D$29=1),($F$113/12),IF(AND($D$28=0,$D$29=2),(($F$113*2)/12),IF(AND($D$28=1,$D$29=0),($E$113/12),IF(AND($D$28=1,$D$29=1),(($E$113+$F$113)/12),IF(AND($D$28=1,$D$29=2),(($E$113+($F$113*2))/12),IF(AND($D$28=2,$D$29=0),(($E$113*2)/12),IF(AND($D$28=2,$D$29=1),((($E$113*2)+$F$113)/12),IF(AND($D$28=2,$D$29=2),((($E$113*2)+($F$113*2))/12),"No Railings"))))))))</f>
        <v/>
      </c>
      <c r="F32" s="202">
        <f>IF(D32="Y",$C$32*E32,"")</f>
        <v/>
      </c>
      <c r="G32" s="206" t="n"/>
      <c r="H32" s="210">
        <f>IF(AND($G$28=0,$G$29=1),($F$114/12),IF(AND($G$28=0,$G$29=2),(($F$114*2)/12),IF(AND($G$28=1,$G$29=0),($E$114/12),IF(AND($G$28=1,$G$29=1),(($E$114+$F$114)/12),IF(AND($G$28=1,$G$29=2),(($E$114+($F$114*2))/12),IF(AND($G$28=2,$G$29=0),(($E$114*2)/12),IF(AND($G$28=2,$G$29=1),((($E$114*2)+$F$114)/12),IF(AND($G$28=2,$G$29=2),((($E$114*2)+($F$114*2))/12),"No Railings"))))))))</f>
        <v/>
      </c>
      <c r="I32" s="202">
        <f>IF(G32="Y",$C$32*H32,"")</f>
        <v/>
      </c>
      <c r="J32" s="206" t="n"/>
      <c r="K32" s="210">
        <f>IF(AND($J$28=0,$J$29=1),($F$115/12),IF(AND($J$28=0,$J$29=2),(($F$115*2)/12),IF(AND($J$28=1,$J$29=0),($E$115/12),IF(AND($J$28=1,$J$29=1),(($E$115+$F$115)/12),IF(AND($J$28=1,$J$29=2),(($E$115+($F$115*2))/12),IF(AND($J$28=2,$J$29=0),(($E$115*2)/12),IF(AND($J$28=2,$J$29=1),((($E$115*2)+$F$115)/12),IF(AND($J$28=2,$J$29=2),((($E$115*2)+($F$115*2))/12),"No Railings"))))))))</f>
        <v/>
      </c>
      <c r="L32" s="202">
        <f>IF(J32="Y",$C$32*K32,"")</f>
        <v/>
      </c>
      <c r="M32" s="206" t="n"/>
      <c r="N32" s="210">
        <f>IF(AND($M$28=0,$M$29=1),($F$116/12),IF(AND($M$28=0,$M$29=2),(($F$116*2)/12),IF(AND($M$28=1,$M$29=0),($E$116/12),IF(AND($M$28=1,$M$29=1),(($E$116+$F$116)/12),IF(AND($M$28=1,$M$29=2),(($E$116+($F$116*2))/12),IF(AND($M$28=2,$M$29=0),(($E$116*2)/12),IF(AND($M$28=2,$M$29=1),((($E$116*2)+$F$116)/12),IF(AND($M$28=2,$M$29=2),((($E$116*2)+($F$116*2))/12),"No Railings"))))))))</f>
        <v/>
      </c>
      <c r="O32" s="202">
        <f>IF(M32="Y",$C$32*N32,"")</f>
        <v/>
      </c>
      <c r="P32" s="206" t="n"/>
      <c r="Q32" s="210">
        <f>IF(AND($P$28=0,$P$29=1),($F$117/12),IF(AND($P$28=0,$P$29=2),(($F$117*2)/12),IF(AND($P$28=1,$P$29=0),($E$117/12),IF(AND($P$28=1,$P$29=1),(($E$117+$F$117)/12),IF(AND($P$28=1,$P$29=2),(($E$117+($F$117*2))/12),IF(AND($P$28=2,$P$29=0),(($E$117*2)/12),IF(AND($P$28=2,$P$29=1),((($E$117*2)+$F$117)/12),IF(AND($P$28=2,$P$29=2),((($E$117*2)+($F$117*2))/12),"No Railings"))))))))</f>
        <v/>
      </c>
      <c r="R32" s="202">
        <f>IF(P32="Y",$C$32*Q32,"")</f>
        <v/>
      </c>
      <c r="S32" s="206" t="n"/>
      <c r="T32" s="210">
        <f>IF(AND($S$28=0,$S$29=1),($F$118/12),IF(AND($S$28=0,$S$29=2),(($F$118*2)/12),IF(AND($S$28=1,$S$29=0),($E$118/12),IF(AND($S$28=1,$S$29=1),(($E$118+$F$118)/12),IF(AND($S$28=1,$S$29=2),(($E$118+($F$118*2))/12),IF(AND($S$28=2,$S$29=0),(($E$118*2)/12),IF(AND($S$28=2,$S$29=1),((($E$118*2)+$F$118)/12),IF(AND($S$28=2,$S$29=2),((($E$118*2)+($F$118*2))/12),"No Railings"))))))))</f>
        <v/>
      </c>
      <c r="U32" s="202">
        <f>IF(S32="Y",$C$32*T32,"")</f>
        <v/>
      </c>
      <c r="V32" s="9" t="n"/>
      <c r="W32" s="210">
        <f>IF(AND($V$28=0,$V$29=1),($F$119/12),IF(AND($V$28=0,$V$29=2),(($F$119*2)/12),IF(AND($V$28=1,$V$29=0),($E$119/12),IF(AND($V$28=1,$V$29=1),(($E$119+$F$119)/12),IF(AND($V$28=1,$V$29=2),(($E$119+($F$119*2))/12),IF(AND($V$28=2,$V$29=0),(($E$119*2)/12),IF(AND($V$28=2,$V$29=1),((($E$119*2)+$F$119)/12),IF(AND($V$28=2,$V$29=2),((($E$119*2)+($F$119*2))/12),"No Railings"))))))))</f>
        <v/>
      </c>
      <c r="X32" s="202">
        <f>IF(V32="Y",$C$32*W32,"")</f>
        <v/>
      </c>
      <c r="Y32" s="206" t="n"/>
      <c r="Z32" s="210">
        <f>IF(AND($Y$28=0,$Y$29=1),($F$120/12),IF(AND($Y$28=0,$Y$29=2),(($F$120*2)/12),IF(AND($Y$28=1,$Y$29=0),($E$120/12),IF(AND($Y$28=1,$Y$29=1),(($E$120+$F$120)/12),IF(AND($Y$28=1,$Y$29=2),(($E$120+($F$120*2))/12),IF(AND($Y$28=2,$Y$29=0),(($E$120*2)/12),IF(AND($Y$28=2,$Y$29=1),((($E$120*2)+$F$120)/12),IF(AND($Y$28=2,$Y$29=2),((($E$120*2)+($F$120*2))/12),"No Railings"))))))))</f>
        <v/>
      </c>
      <c r="AA32" s="202">
        <f>IF(Y32="Y",$C$32*Z32,"")</f>
        <v/>
      </c>
      <c r="AB32" s="249" t="n"/>
      <c r="AC32" s="210">
        <f>IF(AND($AB$28=0,$AB$29=1),($F$121/12),IF(AND($AB$28=0,$AB$29=2),(($F$121*2)/12),IF(AND($AB$28=1,$AB$29=0),($E$121/12),IF(AND($AB$28=1,$AB$29=1),(($E$121+$F$121)/12),IF(AND($AB$28=1,$AB$29=2),(($E$121+($F$121*2))/12),IF(AND($AB$28=2,$AB$29=0),(($E$121*2)/12),IF(AND($AB$28=2,$AB$29=1),((($E$121*2)+$F$121)/12),IF(AND($AB$28=2,$AB$29=2),((($E$121*2)+($F$121*2))/12),"No Railings"))))))))</f>
        <v/>
      </c>
      <c r="AD32" s="202">
        <f>IF(AB32="Y",$C$32*AC32,"")</f>
        <v/>
      </c>
      <c r="AE32" s="238" t="n"/>
      <c r="AF32" s="210">
        <f>IF(AND($AE$28=0,$AE$29=1),($F$122/12),IF(AND($AE$28=0,$AE$29=2),(($F$122*2)/12),IF(AND($AE$28=1,$AE$29=0),($E$122/12),IF(AND($AE$28=1,$AE$29=1),(($E$122+$F$122)/12),IF(AND($AE$28=1,$AE$29=2),(($E$122+($F$122*2))/12),IF(AND($AE$28=2,$AE$29=0),(($E$122*2)/12),IF(AND($AE$28=2,$AE$29=1),((($E$122*2)+$F$122)/12),IF(AND($AE$28=2,$AE$29=2),((($E$122*2)+($F$122*2))/12),"No Railings"))))))))</f>
        <v/>
      </c>
      <c r="AG32" s="202">
        <f>IF(AE32="Y",$C$32*AF32,"")</f>
        <v/>
      </c>
      <c r="AH32" s="580">
        <f>SUM(F32+I32+L32+O32+R32+U32+X32+AA32+AD32+AG32)</f>
        <v/>
      </c>
      <c r="AI32" s="69" t="n"/>
    </row>
    <row r="33" ht="14" customHeight="1" s="486">
      <c r="A33" s="209" t="n"/>
      <c r="B33" s="5" t="inlineStr">
        <is>
          <t>Glass Railing - 42" High - per linear foot</t>
        </is>
      </c>
      <c r="C33" s="579" t="n">
        <v>91</v>
      </c>
      <c r="D33" s="207" t="n"/>
      <c r="E33" s="210">
        <f>IF(AND($D$28=0,$D$29=1),($F$113/12),IF(AND($D$28=0,$D$29=2),(($F$113*2)/12),IF(AND($D$28=1,$D$29=0),($E$113/12),IF(AND($D$28=1,$D$29=1),(($E$113+$F$113)/12),IF(AND($D$28=1,$D$29=2),(($E$113+($F$113*2))/12),IF(AND($D$28=2,$D$29=0),(($E$113*2)/12),IF(AND($D$28=2,$D$29=1),((($E$113*2)+$F$113)/12),IF(AND($D$28=2,$D$29=2),((($E$113*2)+($F$113*2))/12),"No Railings"))))))))</f>
        <v/>
      </c>
      <c r="F33" s="202">
        <f>IF(D33="Y",$C$33*E33,"")</f>
        <v/>
      </c>
      <c r="G33" s="206" t="n"/>
      <c r="H33" s="210">
        <f>IF(AND($G$28=0,$G$29=1),($F$114/12),IF(AND($G$28=0,$G$29=2),(($F$114*2)/12),IF(AND($G$28=1,$G$29=0),($E$114/12),IF(AND($G$28=1,$G$29=1),(($E$114+$F$114)/12),IF(AND($G$28=1,$G$29=2),(($E$114+($F$114*2))/12),IF(AND($G$28=2,$G$29=0),(($E$114*2)/12),IF(AND($G$28=2,$G$29=1),((($E$114*2)+$F$114)/12),IF(AND($G$28=2,$G$29=2),((($E$114*2)+($F$114*2))/12),"No Railings"))))))))</f>
        <v/>
      </c>
      <c r="I33" s="202">
        <f>IF(G33="Y",$C$33*H33,"")</f>
        <v/>
      </c>
      <c r="J33" s="206" t="n"/>
      <c r="K33" s="210">
        <f>IF(AND($J$28=0,$J$29=1),($F$115/12),IF(AND($J$28=0,$J$29=2),(($F$115*2)/12),IF(AND($J$28=1,$J$29=0),($E$115/12),IF(AND($J$28=1,$J$29=1),(($E$115+$F$115)/12),IF(AND($J$28=1,$J$29=2),(($E$115+($F$115*2))/12),IF(AND($J$28=2,$J$29=0),(($E$115*2)/12),IF(AND($J$28=2,$J$29=1),((($E$115*2)+$F$115)/12),IF(AND($J$28=2,$J$29=2),((($E$115*2)+($F$115*2))/12),"No Railings"))))))))</f>
        <v/>
      </c>
      <c r="L33" s="202">
        <f>IF(J33="Y",$C$33*K33,"")</f>
        <v/>
      </c>
      <c r="M33" s="206" t="n"/>
      <c r="N33" s="210">
        <f>IF(AND($M$28=0,$M$29=1),($F$116/12),IF(AND($M$28=0,$M$29=2),(($F$116*2)/12),IF(AND($M$28=1,$M$29=0),($E$116/12),IF(AND($M$28=1,$M$29=1),(($E$116+$F$116)/12),IF(AND($M$28=1,$M$29=2),(($E$116+($F$116*2))/12),IF(AND($M$28=2,$M$29=0),(($E$116*2)/12),IF(AND($M$28=2,$M$29=1),((($E$116*2)+$F$116)/12),IF(AND($M$28=2,$M$29=2),((($E$116*2)+($F$116*2))/12),"No Railings"))))))))</f>
        <v/>
      </c>
      <c r="O33" s="202">
        <f>IF(M33="Y",$C$33*N33,"")</f>
        <v/>
      </c>
      <c r="P33" s="206" t="n"/>
      <c r="Q33" s="210">
        <f>IF(AND($P$28=0,$P$29=1),($F$117/12),IF(AND($P$28=0,$P$29=2),(($F$117*2)/12),IF(AND($P$28=1,$P$29=0),($E$117/12),IF(AND($P$28=1,$P$29=1),(($E$117+$F$117)/12),IF(AND($P$28=1,$P$29=2),(($E$117+($F$117*2))/12),IF(AND($P$28=2,$P$29=0),(($E$117*2)/12),IF(AND($P$28=2,$P$29=1),((($E$117*2)+$F$117)/12),IF(AND($P$28=2,$P$29=2),((($E$117*2)+($F$117*2))/12),"No Railings"))))))))</f>
        <v/>
      </c>
      <c r="R33" s="202">
        <f>IF(P33="Y",$C$33*Q33,"")</f>
        <v/>
      </c>
      <c r="S33" s="206" t="n"/>
      <c r="T33" s="210">
        <f>IF(AND($S$28=0,$S$29=1),($F$118/12),IF(AND($S$28=0,$S$29=2),(($F$118*2)/12),IF(AND($S$28=1,$S$29=0),($E$118/12),IF(AND($S$28=1,$S$29=1),(($E$118+$F$118)/12),IF(AND($S$28=1,$S$29=2),(($E$118+($F$118*2))/12),IF(AND($S$28=2,$S$29=0),(($E$118*2)/12),IF(AND($S$28=2,$S$29=1),((($E$118*2)+$F$118)/12),IF(AND($S$28=2,$S$29=2),((($E$118*2)+($F$118*2))/12),"No Railings"))))))))</f>
        <v/>
      </c>
      <c r="U33" s="202">
        <f>IF(S33="Y",$C$33*T33,"")</f>
        <v/>
      </c>
      <c r="V33" s="9" t="n"/>
      <c r="W33" s="210">
        <f>IF(AND($V$28=0,$V$29=1),($F$119/12),IF(AND($V$28=0,$V$29=2),(($F$119*2)/12),IF(AND($V$28=1,$V$29=0),($E$119/12),IF(AND($V$28=1,$V$29=1),(($E$119+$F$119)/12),IF(AND($V$28=1,$V$29=2),(($E$119+($F$119*2))/12),IF(AND($V$28=2,$V$29=0),(($E$119*2)/12),IF(AND($V$28=2,$V$29=1),((($E$119*2)+$F$119)/12),IF(AND($V$28=2,$V$29=2),((($E$119*2)+($F$119*2))/12),"No Railings"))))))))</f>
        <v/>
      </c>
      <c r="X33" s="202">
        <f>IF(V33="Y",$C$33*W33,"")</f>
        <v/>
      </c>
      <c r="Y33" s="206" t="n"/>
      <c r="Z33" s="210">
        <f>IF(AND($Y$28=0,$Y$29=1),($F$120/12),IF(AND($Y$28=0,$Y$29=2),(($F$120*2)/12),IF(AND($Y$28=1,$Y$29=0),($E$120/12),IF(AND($Y$28=1,$Y$29=1),(($E$120+$F$120)/12),IF(AND($Y$28=1,$Y$29=2),(($E$120+($F$120*2))/12),IF(AND($Y$28=2,$Y$29=0),(($E$120*2)/12),IF(AND($Y$28=2,$Y$29=1),((($E$120*2)+$F$120)/12),IF(AND($Y$28=2,$Y$29=2),((($E$120*2)+($F$120*2))/12),"No Railings"))))))))</f>
        <v/>
      </c>
      <c r="AA33" s="202">
        <f>IF(Y33="Y",$C$33*Z33,"")</f>
        <v/>
      </c>
      <c r="AB33" s="249" t="n"/>
      <c r="AC33" s="210">
        <f>IF(AND($AB$28=0,$AB$29=1),($F$121/12),IF(AND($AB$28=0,$AB$29=2),(($F$121*2)/12),IF(AND($AB$28=1,$AB$29=0),($E$121/12),IF(AND($AB$28=1,$AB$29=1),(($E$121+$F$121)/12),IF(AND($AB$28=1,$AB$29=2),(($E$121+($F$121*2))/12),IF(AND($AB$28=2,$AB$29=0),(($E$121*2)/12),IF(AND($AB$28=2,$AB$29=1),((($E$121*2)+$F$121)/12),IF(AND($AB$28=2,$AB$29=2),((($E$121*2)+($F$121*2))/12),"No Railings"))))))))</f>
        <v/>
      </c>
      <c r="AD33" s="202">
        <f>IF(AB33="Y",$C$33*AC33,"")</f>
        <v/>
      </c>
      <c r="AE33" s="238" t="n"/>
      <c r="AF33" s="210">
        <f>IF(AND($AE$28=0,$AE$29=1),($F$122/12),IF(AND($AE$28=0,$AE$29=2),(($F$122*2)/12),IF(AND($AE$28=1,$AE$29=0),($E$122/12),IF(AND($AE$28=1,$AE$29=1),(($E$122+$F$122)/12),IF(AND($AE$28=1,$AE$29=2),(($E$122+($F$122*2))/12),IF(AND($AE$28=2,$AE$29=0),(($E$122*2)/12),IF(AND($AE$28=2,$AE$29=1),((($E$122*2)+$F$122)/12),IF(AND($AE$28=2,$AE$29=2),((($E$122*2)+($F$122*2))/12),"No Railings"))))))))</f>
        <v/>
      </c>
      <c r="AG33" s="202">
        <f>IF(AE33="Y",$C$33*AF33,"")</f>
        <v/>
      </c>
      <c r="AH33" s="580">
        <f>SUM(F33+I33+L33+O33+R33+U33+X33+AA33+AD33+AG33)</f>
        <v/>
      </c>
      <c r="AI33" s="69" t="n"/>
    </row>
    <row r="34" ht="14" customHeight="1" s="486">
      <c r="A34" s="209" t="n"/>
      <c r="B34" s="5" t="inlineStr">
        <is>
          <t>Top Rail - per linear foot</t>
        </is>
      </c>
      <c r="C34" s="579" t="n">
        <v>120</v>
      </c>
      <c r="D34" s="207" t="n"/>
      <c r="E34" s="210">
        <f>IF(AND($D$28=0,$D$29=1),($F$113/12),IF(AND($D$28=0,$D$29=2),(($F$113*2)/12),IF(AND($D$28=1,$D$29=0),($E$113/12),IF(AND($D$28=1,$D$29=1),(($E$113+$F$113)/12),IF(AND($D$28=1,$D$29=2),(($E$113+($F$113*2))/12),IF(AND($D$28=2,$D$29=0),(($E$113*2)/12),IF(AND($D$28=2,$D$29=1),((($E$113*2)+$F$113)/12),IF(AND($D$28=2,$D$29=2),((($E$113*2)+($F$113*2))/12),"No Railings"))))))))</f>
        <v/>
      </c>
      <c r="F34" s="202">
        <f>IF(D34="Y",$C$34*E34,"")</f>
        <v/>
      </c>
      <c r="G34" s="206" t="n"/>
      <c r="H34" s="210">
        <f>IF(AND($G$28=0,$G$29=1),($F$114/12),IF(AND($G$28=0,$G$29=2),(($F$114*2)/12),IF(AND($G$28=1,$G$29=0),($E$114/12),IF(AND($G$28=1,$G$29=1),(($E$114+$F$114)/12),IF(AND($G$28=1,$G$29=2),(($E$114+($F$114*2))/12),IF(AND($G$28=2,$G$29=0),(($E$114*2)/12),IF(AND($G$28=2,$G$29=1),((($E$114*2)+$F$114)/12),IF(AND($G$28=2,$G$29=2),((($E$114*2)+($F$114*2))/12),"No Railings"))))))))</f>
        <v/>
      </c>
      <c r="I34" s="202">
        <f>IF(G34="Y",$C$34*H34,"")</f>
        <v/>
      </c>
      <c r="J34" s="206" t="n"/>
      <c r="K34" s="210">
        <f>IF(AND($J$28=0,$J$29=1),($F$115/12),IF(AND($J$28=0,$J$29=2),(($F$115*2)/12),IF(AND($J$28=1,$J$29=0),($E$115/12),IF(AND($J$28=1,$J$29=1),(($E$115+$F$115)/12),IF(AND($J$28=1,$J$29=2),(($E$115+($F$115*2))/12),IF(AND($J$28=2,$J$29=0),(($E$115*2)/12),IF(AND($J$28=2,$J$29=1),((($E$115*2)+$F$115)/12),IF(AND($J$28=2,$J$29=2),((($E$115*2)+($F$115*2))/12),"No Railings"))))))))</f>
        <v/>
      </c>
      <c r="L34" s="202">
        <f>IF(J34="Y",$C$34*K34,"")</f>
        <v/>
      </c>
      <c r="M34" s="206" t="n"/>
      <c r="N34" s="210">
        <f>IF(AND($M$28=0,$M$29=1),($F$116/12),IF(AND($M$28=0,$M$29=2),(($F$116*2)/12),IF(AND($M$28=1,$M$29=0),($E$116/12),IF(AND($M$28=1,$M$29=1),(($E$116+$F$116)/12),IF(AND($M$28=1,$M$29=2),(($E$116+($F$116*2))/12),IF(AND($M$28=2,$M$29=0),(($E$116*2)/12),IF(AND($M$28=2,$M$29=1),((($E$116*2)+$F$116)/12),IF(AND($M$28=2,$M$29=2),((($E$116*2)+($F$116*2))/12),"No Railings"))))))))</f>
        <v/>
      </c>
      <c r="O34" s="202">
        <f>IF(M34="Y",$C$34*N34,"")</f>
        <v/>
      </c>
      <c r="P34" s="206" t="n"/>
      <c r="Q34" s="210">
        <f>IF(AND($P$28=0,$P$29=1),($F$117/12),IF(AND($P$28=0,$P$29=2),(($F$117*2)/12),IF(AND($P$28=1,$P$29=0),($E$117/12),IF(AND($P$28=1,$P$29=1),(($E$117+$F$117)/12),IF(AND($P$28=1,$P$29=2),(($E$117+($F$117*2))/12),IF(AND($P$28=2,$P$29=0),(($E$117*2)/12),IF(AND($P$28=2,$P$29=1),((($E$117*2)+$F$117)/12),IF(AND($P$28=2,$P$29=2),((($E$117*2)+($F$117*2))/12),"No Railings"))))))))</f>
        <v/>
      </c>
      <c r="R34" s="202">
        <f>IF(P34="Y",$C$34*Q34,"")</f>
        <v/>
      </c>
      <c r="S34" s="206" t="n"/>
      <c r="T34" s="210">
        <f>IF(AND($S$28=0,$S$29=1),($F$118/12),IF(AND($S$28=0,$S$29=2),(($F$118*2)/12),IF(AND($S$28=1,$S$29=0),($E$118/12),IF(AND($S$28=1,$S$29=1),(($E$118+$F$118)/12),IF(AND($S$28=1,$S$29=2),(($E$118+($F$118*2))/12),IF(AND($S$28=2,$S$29=0),(($E$118*2)/12),IF(AND($S$28=2,$S$29=1),((($E$118*2)+$F$118)/12),IF(AND($S$28=2,$S$29=2),((($E$118*2)+($F$118*2))/12),"No Railings"))))))))</f>
        <v/>
      </c>
      <c r="U34" s="202">
        <f>IF(S34="Y",$C$34*T34,"")</f>
        <v/>
      </c>
      <c r="V34" s="9" t="n"/>
      <c r="W34" s="210">
        <f>IF(AND($V$28=0,$V$29=1),($F$119/12),IF(AND($V$28=0,$V$29=2),(($F$119*2)/12),IF(AND($V$28=1,$V$29=0),($E$119/12),IF(AND($V$28=1,$V$29=1),(($E$119+$F$119)/12),IF(AND($V$28=1,$V$29=2),(($E$119+($F$119*2))/12),IF(AND($V$28=2,$V$29=0),(($E$119*2)/12),IF(AND($V$28=2,$V$29=1),((($E$119*2)+$F$119)/12),IF(AND($V$28=2,$V$29=2),((($E$119*2)+($F$119*2))/12),"No Railings"))))))))</f>
        <v/>
      </c>
      <c r="X34" s="202">
        <f>IF(V34="Y",$C$34*W34,"")</f>
        <v/>
      </c>
      <c r="Y34" s="206" t="n"/>
      <c r="Z34" s="210">
        <f>IF(AND($Y$28=0,$Y$29=1),($F$120/12),IF(AND($Y$28=0,$Y$29=2),(($F$120*2)/12),IF(AND($Y$28=1,$Y$29=0),($E$120/12),IF(AND($Y$28=1,$Y$29=1),(($E$120+$F$120)/12),IF(AND($Y$28=1,$Y$29=2),(($E$120+($F$120*2))/12),IF(AND($Y$28=2,$Y$29=0),(($E$120*2)/12),IF(AND($Y$28=2,$Y$29=1),((($E$120*2)+$F$120)/12),IF(AND($Y$28=2,$Y$29=2),((($E$120*2)+($F$120*2))/12),"No Railings"))))))))</f>
        <v/>
      </c>
      <c r="AA34" s="202">
        <f>IF(Y34="Y",$C$34*Z34,"")</f>
        <v/>
      </c>
      <c r="AB34" s="249" t="n"/>
      <c r="AC34" s="210">
        <f>IF(AND($AB$28=0,$AB$29=1),($F$121/12),IF(AND($AB$28=0,$AB$29=2),(($F$121*2)/12),IF(AND($AB$28=1,$AB$29=0),($E$121/12),IF(AND($AB$28=1,$AB$29=1),(($E$121+$F$121)/12),IF(AND($AB$28=1,$AB$29=2),(($E$121+($F$121*2))/12),IF(AND($AB$28=2,$AB$29=0),(($E$121*2)/12),IF(AND($AB$28=2,$AB$29=1),((($E$121*2)+$F$121)/12),IF(AND($AB$28=2,$AB$29=2),((($E$121*2)+($F$121*2))/12),"No Railings"))))))))</f>
        <v/>
      </c>
      <c r="AD34" s="202">
        <f>IF(AB34="Y",$C$34*AC34,"")</f>
        <v/>
      </c>
      <c r="AE34" s="238" t="n"/>
      <c r="AF34" s="210">
        <f>IF(AND($AE$28=0,$AE$29=1),($F$122/12),IF(AND($AE$28=0,$AE$29=2),(($F$122*2)/12),IF(AND($AE$28=1,$AE$29=0),($E$122/12),IF(AND($AE$28=1,$AE$29=1),(($E$122+$F$122)/12),IF(AND($AE$28=1,$AE$29=2),(($E$122+($F$122*2))/12),IF(AND($AE$28=2,$AE$29=0),(($E$122*2)/12),IF(AND($AE$28=2,$AE$29=1),((($E$122*2)+$F$122)/12),IF(AND($AE$28=2,$AE$29=2),((($E$122*2)+($F$122*2))/12),"No Railings"))))))))</f>
        <v/>
      </c>
      <c r="AG34" s="202">
        <f>IF(AE34="Y",$C$34*AF34,"")</f>
        <v/>
      </c>
      <c r="AH34" s="580">
        <f>SUM(F34+I34+L34+O34+R34+U34+X34+AA34+AD34+AG34)</f>
        <v/>
      </c>
      <c r="AI34" s="69" t="n"/>
    </row>
    <row r="35" ht="14" customHeight="1" s="486">
      <c r="A35" s="209" t="n"/>
      <c r="B35" s="17" t="inlineStr">
        <is>
          <t>Framing - Linear Feet</t>
        </is>
      </c>
      <c r="C35" s="577" t="n"/>
      <c r="D35" s="18" t="n"/>
      <c r="E35" s="18" t="n"/>
      <c r="F35" s="19" t="n"/>
      <c r="G35" s="19" t="n"/>
      <c r="H35" s="18" t="n"/>
      <c r="I35" s="19" t="n"/>
      <c r="J35" s="19" t="n"/>
      <c r="K35" s="18" t="n"/>
      <c r="L35" s="19" t="n"/>
      <c r="M35" s="19" t="n"/>
      <c r="N35" s="18" t="n"/>
      <c r="O35" s="19" t="n"/>
      <c r="P35" s="64" t="n"/>
      <c r="Q35" s="65" t="n"/>
      <c r="R35" s="19" t="n"/>
      <c r="S35" s="212" t="n"/>
      <c r="T35" s="65" t="n"/>
      <c r="U35" s="19" t="n"/>
      <c r="V35" s="64" t="n"/>
      <c r="W35" s="65" t="n"/>
      <c r="X35" s="19" t="n"/>
      <c r="Y35" s="19" t="n"/>
      <c r="Z35" s="18" t="n"/>
      <c r="AA35" s="19" t="n"/>
      <c r="AB35" s="236" t="n"/>
      <c r="AC35" s="236" t="n"/>
      <c r="AD35" s="236" t="n"/>
      <c r="AE35" s="236" t="n"/>
      <c r="AF35" s="236" t="n"/>
      <c r="AG35" s="236" t="n"/>
      <c r="AH35" s="580" t="n"/>
      <c r="AI35" s="69" t="n"/>
    </row>
    <row r="36" ht="14" customHeight="1" s="486">
      <c r="A36" s="209" t="n"/>
      <c r="B36" s="24" t="inlineStr">
        <is>
          <t>Perimeter</t>
        </is>
      </c>
      <c r="C36" s="577" t="n"/>
      <c r="D36" s="18" t="n"/>
      <c r="E36" s="18" t="n"/>
      <c r="F36" s="19" t="n"/>
      <c r="G36" s="19" t="n"/>
      <c r="H36" s="18" t="n"/>
      <c r="I36" s="19" t="n"/>
      <c r="J36" s="19" t="n"/>
      <c r="K36" s="18" t="n"/>
      <c r="L36" s="19" t="n"/>
      <c r="M36" s="19" t="n"/>
      <c r="N36" s="18" t="n"/>
      <c r="O36" s="19" t="n"/>
      <c r="P36" s="64" t="n"/>
      <c r="Q36" s="65" t="n"/>
      <c r="R36" s="19" t="n"/>
      <c r="S36" s="64" t="n"/>
      <c r="T36" s="65" t="n"/>
      <c r="U36" s="19" t="n"/>
      <c r="V36" s="64" t="n"/>
      <c r="W36" s="65" t="n"/>
      <c r="X36" s="19" t="n"/>
      <c r="Y36" s="64" t="n"/>
      <c r="Z36" s="65" t="n"/>
      <c r="AA36" s="19" t="n"/>
      <c r="AB36" s="236" t="n"/>
      <c r="AC36" s="236" t="n"/>
      <c r="AD36" s="236" t="n"/>
      <c r="AE36" s="236" t="n"/>
      <c r="AF36" s="236" t="n"/>
      <c r="AG36" s="236" t="n"/>
      <c r="AH36" s="580" t="n"/>
      <c r="AI36" s="69" t="n"/>
    </row>
    <row r="37" ht="14" customHeight="1" s="486">
      <c r="A37" s="209" t="n"/>
      <c r="B37" s="183" t="inlineStr">
        <is>
          <t>Series 1000 Pedestal thermally broken</t>
        </is>
      </c>
      <c r="C37" s="579">
        <f>'Bonnell - Glass Pricing'!H14</f>
        <v/>
      </c>
      <c r="D37" s="207" t="n"/>
      <c r="E37" s="200">
        <f>IF(D37="y",$I$113,0)</f>
        <v/>
      </c>
      <c r="F37" s="582">
        <f>E37*$C37</f>
        <v/>
      </c>
      <c r="G37" s="206" t="n"/>
      <c r="H37" s="200">
        <f>IF(G37="y",$I$114,0)</f>
        <v/>
      </c>
      <c r="I37" s="202">
        <f>H37*$C37</f>
        <v/>
      </c>
      <c r="J37" s="206" t="n"/>
      <c r="K37" s="200">
        <f>IF(J37="y",$I$115,0)</f>
        <v/>
      </c>
      <c r="L37" s="202">
        <f>K37*$C37</f>
        <v/>
      </c>
      <c r="M37" s="206" t="n"/>
      <c r="N37" s="200">
        <f>IF(M37="y",$I$116,0)</f>
        <v/>
      </c>
      <c r="O37" s="202">
        <f>N37*$C37</f>
        <v/>
      </c>
      <c r="P37" s="206" t="n"/>
      <c r="Q37" s="200">
        <f>IF(P37="y",$I$117,0)</f>
        <v/>
      </c>
      <c r="R37" s="202">
        <f>Q37*$C37</f>
        <v/>
      </c>
      <c r="S37" s="206" t="n"/>
      <c r="T37" s="200">
        <f>IF(S37="y",$I$118,0)</f>
        <v/>
      </c>
      <c r="U37" s="202">
        <f>T37*$C37</f>
        <v/>
      </c>
      <c r="V37" s="206" t="n"/>
      <c r="W37" s="200">
        <f>IF(V37="y",$I$119,0)</f>
        <v/>
      </c>
      <c r="X37" s="202">
        <f>W37*$C37</f>
        <v/>
      </c>
      <c r="Y37" s="206" t="n"/>
      <c r="Z37" s="200">
        <f>IF(Y37="y",$I$120,0)</f>
        <v/>
      </c>
      <c r="AA37" s="202">
        <f>Z37*$C37</f>
        <v/>
      </c>
      <c r="AB37" s="249" t="n"/>
      <c r="AC37" s="200">
        <f>IF(AB37="y",$I$121,0)</f>
        <v/>
      </c>
      <c r="AD37" s="202">
        <f>AC37*$C37</f>
        <v/>
      </c>
      <c r="AE37" s="249" t="n"/>
      <c r="AF37" s="200">
        <f>IF(AE37="y",$I$122,0)</f>
        <v/>
      </c>
      <c r="AG37" s="202">
        <f>AF37*$C37</f>
        <v/>
      </c>
      <c r="AH37" s="580">
        <f>SUM(F37+I37+L37+O37+R37+U37+X37+AA37+AD37+AG37)</f>
        <v/>
      </c>
      <c r="AI37" s="69" t="n"/>
    </row>
    <row r="38" ht="14" customHeight="1" s="486">
      <c r="A38" s="209" t="n"/>
      <c r="B38" s="183" t="inlineStr">
        <is>
          <t>Series 1000 Recessed thermally broken</t>
        </is>
      </c>
      <c r="C38" s="579">
        <f>'Bonnell - Glass Pricing'!H15</f>
        <v/>
      </c>
      <c r="D38" s="207" t="n"/>
      <c r="E38" s="200">
        <f>IF(D38="y",$I$113,0)</f>
        <v/>
      </c>
      <c r="F38" s="202">
        <f>E38*$C38</f>
        <v/>
      </c>
      <c r="G38" s="206" t="n"/>
      <c r="H38" s="200">
        <f>IF(G38="y",$I$114,0)</f>
        <v/>
      </c>
      <c r="I38" s="202">
        <f>H38*$C38</f>
        <v/>
      </c>
      <c r="J38" s="206" t="n"/>
      <c r="K38" s="200">
        <f>IF(J38="y",$I$115,0)</f>
        <v/>
      </c>
      <c r="L38" s="202">
        <f>K38*$C38</f>
        <v/>
      </c>
      <c r="M38" s="9" t="n"/>
      <c r="N38" s="200">
        <f>IF(M38="y",$I$116,0)</f>
        <v/>
      </c>
      <c r="O38" s="202">
        <f>N38*$C38</f>
        <v/>
      </c>
      <c r="P38" s="206" t="n"/>
      <c r="Q38" s="200">
        <f>IF(P38="y",$I$117,0)</f>
        <v/>
      </c>
      <c r="R38" s="202">
        <f>Q38*$C38</f>
        <v/>
      </c>
      <c r="S38" s="206" t="n"/>
      <c r="T38" s="200">
        <f>IF(S38="y",$I$118,0)</f>
        <v/>
      </c>
      <c r="U38" s="202">
        <f>T38*$C38</f>
        <v/>
      </c>
      <c r="V38" s="206" t="n"/>
      <c r="W38" s="200">
        <f>IF(V38="y",$I$119,0)</f>
        <v/>
      </c>
      <c r="X38" s="202">
        <f>W38*$C38</f>
        <v/>
      </c>
      <c r="Y38" s="206" t="n"/>
      <c r="Z38" s="200">
        <f>IF(Y38="y",$I$120,0)</f>
        <v/>
      </c>
      <c r="AA38" s="202">
        <f>Z38*$C38</f>
        <v/>
      </c>
      <c r="AB38" s="238" t="n"/>
      <c r="AC38" s="200">
        <f>IF(AB38="y",$I$121,0)</f>
        <v/>
      </c>
      <c r="AD38" s="202">
        <f>AC38*$C38</f>
        <v/>
      </c>
      <c r="AE38" s="238" t="n"/>
      <c r="AF38" s="200">
        <f>IF(AE38="y",$I$122,0)</f>
        <v/>
      </c>
      <c r="AG38" s="202">
        <f>AF38*$C38</f>
        <v/>
      </c>
      <c r="AH38" s="580">
        <f>SUM(F38+I38+L38+O38+R38+U38+X38+AA38+AD38+AG38)</f>
        <v/>
      </c>
      <c r="AI38" s="69" t="n"/>
    </row>
    <row r="39" ht="14" customHeight="1" s="486">
      <c r="A39" s="209" t="n"/>
      <c r="B39" s="25" t="inlineStr">
        <is>
          <t>Perimeter non thermally broken</t>
        </is>
      </c>
      <c r="C39" s="579">
        <f>'Bonnell - Glass Pricing'!H16</f>
        <v/>
      </c>
      <c r="D39" s="207" t="n"/>
      <c r="E39" s="200">
        <f>IF(D39="y",$I$113,0)</f>
        <v/>
      </c>
      <c r="F39" s="202">
        <f>E39*$C39</f>
        <v/>
      </c>
      <c r="G39" s="9" t="n"/>
      <c r="H39" s="200">
        <f>IF(G39="y",$I$114,0)</f>
        <v/>
      </c>
      <c r="I39" s="202">
        <f>H39*$C39</f>
        <v/>
      </c>
      <c r="J39" s="9" t="n"/>
      <c r="K39" s="200">
        <f>IF(J39="y",$I$115,0)</f>
        <v/>
      </c>
      <c r="L39" s="202">
        <f>K39*$C39</f>
        <v/>
      </c>
      <c r="M39" s="9" t="n"/>
      <c r="N39" s="200">
        <f>IF(M39="y",$I$116,0)</f>
        <v/>
      </c>
      <c r="O39" s="202">
        <f>N39*$C39</f>
        <v/>
      </c>
      <c r="P39" s="206" t="n"/>
      <c r="Q39" s="200">
        <f>IF(P39="y",$I$117,0)</f>
        <v/>
      </c>
      <c r="R39" s="202">
        <f>Q39*$C39</f>
        <v/>
      </c>
      <c r="S39" s="206" t="n"/>
      <c r="T39" s="200">
        <f>IF(S39="y",$I$118,0)</f>
        <v/>
      </c>
      <c r="U39" s="202">
        <f>T39*$C39</f>
        <v/>
      </c>
      <c r="V39" s="206" t="n"/>
      <c r="W39" s="200">
        <f>IF(V39="y",$I$119,0)</f>
        <v/>
      </c>
      <c r="X39" s="202">
        <f>W39*$C39</f>
        <v/>
      </c>
      <c r="Y39" s="206" t="n"/>
      <c r="Z39" s="200">
        <f>IF(Y39="y",$I$120,0)</f>
        <v/>
      </c>
      <c r="AA39" s="202">
        <f>Z39*$C39</f>
        <v/>
      </c>
      <c r="AB39" s="238" t="n"/>
      <c r="AC39" s="200">
        <f>IF(AB39="y",$I$121,0)</f>
        <v/>
      </c>
      <c r="AD39" s="202">
        <f>AC39*$C39</f>
        <v/>
      </c>
      <c r="AE39" s="238" t="n"/>
      <c r="AF39" s="200">
        <f>IF(AE39="y",$I$122,0)</f>
        <v/>
      </c>
      <c r="AG39" s="202">
        <f>AF39*$C39</f>
        <v/>
      </c>
      <c r="AH39" s="580">
        <f>SUM(F39+I39+L39+O39+R39+U39+X39+AA39+AD39+AG39)</f>
        <v/>
      </c>
      <c r="AI39" s="69" t="n"/>
    </row>
    <row r="40" ht="14" customHeight="1" s="486">
      <c r="A40" s="209" t="n"/>
      <c r="B40" s="183" t="inlineStr">
        <is>
          <t>Series 2000 Pedestal</t>
        </is>
      </c>
      <c r="C40" s="579">
        <f>'Bonnell - Glass Pricing'!H46</f>
        <v/>
      </c>
      <c r="D40" s="8" t="n"/>
      <c r="E40" s="200">
        <f>IF(D40="y",$I$113,0)</f>
        <v/>
      </c>
      <c r="F40" s="202">
        <f>E40*$C40</f>
        <v/>
      </c>
      <c r="G40" s="9" t="n"/>
      <c r="H40" s="200">
        <f>IF(G40="y",$I$114,0)</f>
        <v/>
      </c>
      <c r="I40" s="202">
        <f>H40*$C40</f>
        <v/>
      </c>
      <c r="J40" s="9" t="n"/>
      <c r="K40" s="200">
        <f>IF(J40="y",$I$115,0)</f>
        <v/>
      </c>
      <c r="L40" s="202">
        <f>K40*$C40</f>
        <v/>
      </c>
      <c r="M40" s="9" t="n"/>
      <c r="N40" s="200">
        <f>IF(M40="y",$I$116,0)</f>
        <v/>
      </c>
      <c r="O40" s="202">
        <f>N40*$C40</f>
        <v/>
      </c>
      <c r="P40" s="206" t="n"/>
      <c r="Q40" s="200">
        <f>IF(P40="y",$I$117,0)</f>
        <v/>
      </c>
      <c r="R40" s="202">
        <f>Q40*$C40</f>
        <v/>
      </c>
      <c r="S40" s="206" t="n"/>
      <c r="T40" s="200">
        <f>IF(S40="y",$I$118,0)</f>
        <v/>
      </c>
      <c r="U40" s="202">
        <f>T40*$C40</f>
        <v/>
      </c>
      <c r="V40" s="206" t="n"/>
      <c r="W40" s="200">
        <f>IF(V40="y",$I$119,0)</f>
        <v/>
      </c>
      <c r="X40" s="202">
        <f>W40*$C40</f>
        <v/>
      </c>
      <c r="Y40" s="206" t="n"/>
      <c r="Z40" s="200">
        <f>IF(Y40="y",$I$120,0)</f>
        <v/>
      </c>
      <c r="AA40" s="202">
        <f>Z40*$C40</f>
        <v/>
      </c>
      <c r="AB40" s="238" t="n"/>
      <c r="AC40" s="200">
        <f>IF(AB40="y",$I$121,0)</f>
        <v/>
      </c>
      <c r="AD40" s="202">
        <f>AC40*$C40</f>
        <v/>
      </c>
      <c r="AE40" s="238" t="n"/>
      <c r="AF40" s="200">
        <f>IF(AE40="y",$I$122,0)</f>
        <v/>
      </c>
      <c r="AG40" s="202">
        <f>AF40*$C40</f>
        <v/>
      </c>
      <c r="AH40" s="580">
        <f>SUM(F40+I40+L40+O40+R40+U40+X40+AA40+AD40+AG40)</f>
        <v/>
      </c>
      <c r="AI40" s="69" t="n"/>
    </row>
    <row r="41" ht="14" customHeight="1" s="486">
      <c r="A41" s="209" t="n"/>
      <c r="B41" s="183" t="inlineStr">
        <is>
          <t>Series 2000 Recessed</t>
        </is>
      </c>
      <c r="C41" s="579">
        <f>'Bonnell - Glass Pricing'!H47</f>
        <v/>
      </c>
      <c r="D41" s="207" t="n"/>
      <c r="E41" s="200">
        <f>IF(D41="y",$I$113,0)</f>
        <v/>
      </c>
      <c r="F41" s="202">
        <f>E41*$C41</f>
        <v/>
      </c>
      <c r="G41" s="206" t="n"/>
      <c r="H41" s="200">
        <f>IF(G41="y",$I$114,0)</f>
        <v/>
      </c>
      <c r="I41" s="202">
        <f>H41*$C41</f>
        <v/>
      </c>
      <c r="J41" s="9" t="n"/>
      <c r="K41" s="200">
        <f>IF(J41="y",$I$115,0)</f>
        <v/>
      </c>
      <c r="L41" s="202">
        <f>K41*$C41</f>
        <v/>
      </c>
      <c r="M41" s="9" t="n"/>
      <c r="N41" s="200">
        <f>IF(M41="y",$I$116,0)</f>
        <v/>
      </c>
      <c r="O41" s="202">
        <f>N41*$C41</f>
        <v/>
      </c>
      <c r="P41" s="206" t="n"/>
      <c r="Q41" s="200">
        <f>IF(P41="y",$I$117,0)</f>
        <v/>
      </c>
      <c r="R41" s="202">
        <f>Q41*$C41</f>
        <v/>
      </c>
      <c r="S41" s="206" t="n"/>
      <c r="T41" s="200">
        <f>IF(S41="y",$I$118,0)</f>
        <v/>
      </c>
      <c r="U41" s="202">
        <f>T41*$C41</f>
        <v/>
      </c>
      <c r="V41" s="206" t="n"/>
      <c r="W41" s="200">
        <f>IF(V41="y",$I$119,0)</f>
        <v/>
      </c>
      <c r="X41" s="202">
        <f>W41*$C41</f>
        <v/>
      </c>
      <c r="Y41" s="206" t="n"/>
      <c r="Z41" s="200">
        <f>IF(Y41="y",$I$120,0)</f>
        <v/>
      </c>
      <c r="AA41" s="202">
        <f>Z41*$C41</f>
        <v/>
      </c>
      <c r="AB41" s="238" t="n"/>
      <c r="AC41" s="200">
        <f>IF(AB41="y",$I$121,0)</f>
        <v/>
      </c>
      <c r="AD41" s="202">
        <f>AC41*$C41</f>
        <v/>
      </c>
      <c r="AE41" s="238" t="n"/>
      <c r="AF41" s="200">
        <f>IF(AE41="y",$I$122,0)</f>
        <v/>
      </c>
      <c r="AG41" s="202">
        <f>AF41*$C41</f>
        <v/>
      </c>
      <c r="AH41" s="580">
        <f>SUM(F41+I41+L41+O41+R41+U41+X41+AA41+AD41+AG41)</f>
        <v/>
      </c>
      <c r="AI41" s="69" t="n"/>
    </row>
    <row r="42" ht="14" customHeight="1" s="486">
      <c r="A42" s="209" t="n"/>
      <c r="B42" s="183" t="inlineStr">
        <is>
          <t>Series 2000 with plate</t>
        </is>
      </c>
      <c r="C42" s="579">
        <f>'Bonnell - Glass Pricing'!H48</f>
        <v/>
      </c>
      <c r="D42" s="8" t="n"/>
      <c r="E42" s="200">
        <f>IF(D42="y",$I$113,0)</f>
        <v/>
      </c>
      <c r="F42" s="202">
        <f>E42*$C42</f>
        <v/>
      </c>
      <c r="G42" s="9" t="n"/>
      <c r="H42" s="200">
        <f>IF(G42="y",$I$114,0)</f>
        <v/>
      </c>
      <c r="I42" s="202">
        <f>H42*$C42</f>
        <v/>
      </c>
      <c r="J42" s="9" t="n"/>
      <c r="K42" s="200">
        <f>IF(J42="y",$I$115,0)</f>
        <v/>
      </c>
      <c r="L42" s="202">
        <f>K42*$C42</f>
        <v/>
      </c>
      <c r="M42" s="9" t="n"/>
      <c r="N42" s="200">
        <f>IF(M42="y",$I$116,0)</f>
        <v/>
      </c>
      <c r="O42" s="202">
        <f>N42*$C42</f>
        <v/>
      </c>
      <c r="P42" s="206" t="n"/>
      <c r="Q42" s="200">
        <f>IF(P42="y",$I$117,0)</f>
        <v/>
      </c>
      <c r="R42" s="202">
        <f>Q42*$C42</f>
        <v/>
      </c>
      <c r="S42" s="206" t="n"/>
      <c r="T42" s="200">
        <f>IF(S42="y",$I$118,0)</f>
        <v/>
      </c>
      <c r="U42" s="202">
        <f>T42*$C42</f>
        <v/>
      </c>
      <c r="V42" s="206" t="n"/>
      <c r="W42" s="200">
        <f>IF(V42="y",$I$119,0)</f>
        <v/>
      </c>
      <c r="X42" s="202">
        <f>W42*$C42</f>
        <v/>
      </c>
      <c r="Y42" s="206" t="n"/>
      <c r="Z42" s="200">
        <f>IF(Y42="y",$I$120,0)</f>
        <v/>
      </c>
      <c r="AA42" s="202">
        <f>Z42*$C42</f>
        <v/>
      </c>
      <c r="AB42" s="238" t="n"/>
      <c r="AC42" s="200">
        <f>IF(AB42="y",$I$121,0)</f>
        <v/>
      </c>
      <c r="AD42" s="202">
        <f>AC42*$C42</f>
        <v/>
      </c>
      <c r="AE42" s="238" t="n"/>
      <c r="AF42" s="200">
        <f>IF(AE42="y",$I$122,0)</f>
        <v/>
      </c>
      <c r="AG42" s="202">
        <f>AF42*$C42</f>
        <v/>
      </c>
      <c r="AH42" s="580">
        <f>SUM(F42+I42+L42+O42+R42+U42+X42+AA42+AD42+AG42)</f>
        <v/>
      </c>
      <c r="AI42" s="69" t="n"/>
    </row>
    <row r="43" ht="14" customHeight="1" s="486">
      <c r="A43" s="209" t="n"/>
      <c r="B43" s="183" t="inlineStr">
        <is>
          <t>Series 2000 non-walkable</t>
        </is>
      </c>
      <c r="C43" s="579" t="n"/>
      <c r="D43" s="8" t="n"/>
      <c r="E43" s="200">
        <f>IF(D43="y",$I$113,0)</f>
        <v/>
      </c>
      <c r="F43" s="202">
        <f>E43*$C43</f>
        <v/>
      </c>
      <c r="G43" s="9" t="n"/>
      <c r="H43" s="200">
        <f>IF(G43="y",$I$114,0)</f>
        <v/>
      </c>
      <c r="I43" s="202">
        <f>H43*$C43</f>
        <v/>
      </c>
      <c r="J43" s="9" t="n"/>
      <c r="K43" s="200">
        <f>IF(J43="y",$I$115,0)</f>
        <v/>
      </c>
      <c r="L43" s="202">
        <f>K43*$C43</f>
        <v/>
      </c>
      <c r="M43" s="9" t="n"/>
      <c r="N43" s="200">
        <f>IF(M43="y",$I$116,0)</f>
        <v/>
      </c>
      <c r="O43" s="202">
        <f>N43*$C43</f>
        <v/>
      </c>
      <c r="P43" s="206" t="n"/>
      <c r="Q43" s="200">
        <f>IF(P43="y",$I$117,0)</f>
        <v/>
      </c>
      <c r="R43" s="202">
        <f>Q43*$C43</f>
        <v/>
      </c>
      <c r="S43" s="206" t="n"/>
      <c r="T43" s="200">
        <f>IF(S43="y",$I$118,0)</f>
        <v/>
      </c>
      <c r="U43" s="202">
        <f>T43*$C43</f>
        <v/>
      </c>
      <c r="V43" s="206" t="n"/>
      <c r="W43" s="200">
        <f>IF(V43="y",$I$119,0)</f>
        <v/>
      </c>
      <c r="X43" s="202">
        <f>W43*$C43</f>
        <v/>
      </c>
      <c r="Y43" s="206" t="n"/>
      <c r="Z43" s="200">
        <f>IF(Y43="y",$I$120,0)</f>
        <v/>
      </c>
      <c r="AA43" s="202">
        <f>Z43*$C43</f>
        <v/>
      </c>
      <c r="AB43" s="238" t="n"/>
      <c r="AC43" s="200">
        <f>IF(AB43="y",$I$121,0)</f>
        <v/>
      </c>
      <c r="AD43" s="202">
        <f>AC43*$C43</f>
        <v/>
      </c>
      <c r="AE43" s="238" t="n"/>
      <c r="AF43" s="200">
        <f>IF(AE43="y",$I$122,0)</f>
        <v/>
      </c>
      <c r="AG43" s="202">
        <f>AF43*$C43</f>
        <v/>
      </c>
      <c r="AH43" s="580">
        <f>SUM(F43+I43+L43+O43+R43+U43+X43+AA43+AD43+AG43)</f>
        <v/>
      </c>
      <c r="AI43" s="69" t="n"/>
    </row>
    <row r="44" ht="14" customHeight="1" s="486">
      <c r="A44" s="209" t="n"/>
      <c r="B44" s="25" t="inlineStr">
        <is>
          <t>Deck perimeter</t>
        </is>
      </c>
      <c r="C44" s="579">
        <f>'Bonnell - Glass Pricing'!H20</f>
        <v/>
      </c>
      <c r="D44" s="8" t="n"/>
      <c r="E44" s="200">
        <f>IF(D44="y",$I$113,0)</f>
        <v/>
      </c>
      <c r="F44" s="202">
        <f>E44*$C44</f>
        <v/>
      </c>
      <c r="G44" s="9" t="n"/>
      <c r="H44" s="200">
        <f>IF(G44="y",$I$114,0)</f>
        <v/>
      </c>
      <c r="I44" s="202">
        <f>H44*$C44</f>
        <v/>
      </c>
      <c r="J44" s="9" t="n"/>
      <c r="K44" s="200">
        <f>IF(J44="y",$I$115,0)</f>
        <v/>
      </c>
      <c r="L44" s="202">
        <f>K44*$C44</f>
        <v/>
      </c>
      <c r="M44" s="9" t="n"/>
      <c r="N44" s="200">
        <f>IF(M44="y",$I$116,0)</f>
        <v/>
      </c>
      <c r="O44" s="202">
        <f>N44*$C44</f>
        <v/>
      </c>
      <c r="P44" s="206" t="n"/>
      <c r="Q44" s="200">
        <f>IF(P44="y",$I$117,0)</f>
        <v/>
      </c>
      <c r="R44" s="202">
        <f>Q44*$C44</f>
        <v/>
      </c>
      <c r="S44" s="206" t="n"/>
      <c r="T44" s="200">
        <f>IF(S44="y",$I$118,0)</f>
        <v/>
      </c>
      <c r="U44" s="202">
        <f>T44*$C44</f>
        <v/>
      </c>
      <c r="V44" s="206" t="n"/>
      <c r="W44" s="200">
        <f>IF(V44="y",$I$119,0)</f>
        <v/>
      </c>
      <c r="X44" s="202">
        <f>W44*$C44</f>
        <v/>
      </c>
      <c r="Y44" s="206" t="n"/>
      <c r="Z44" s="200">
        <f>IF(Y44="y",$I$120,0)</f>
        <v/>
      </c>
      <c r="AA44" s="202">
        <f>Z44*$C44</f>
        <v/>
      </c>
      <c r="AB44" s="238" t="n"/>
      <c r="AC44" s="200">
        <f>IF(AB44="y",$I$121,0)</f>
        <v/>
      </c>
      <c r="AD44" s="202">
        <f>AC44*$C44</f>
        <v/>
      </c>
      <c r="AE44" s="238" t="n"/>
      <c r="AF44" s="200">
        <f>IF(AE44="y",$I$122,0)</f>
        <v/>
      </c>
      <c r="AG44" s="202">
        <f>AF44*$C44</f>
        <v/>
      </c>
      <c r="AH44" s="580">
        <f>SUM(F44+I44+L44+O44+R44+U44+X44+AA44+AD44+AG44)</f>
        <v/>
      </c>
      <c r="AI44" s="69" t="n"/>
    </row>
    <row r="45" ht="14" customHeight="1" s="486">
      <c r="A45" s="209" t="n"/>
      <c r="B45" s="183" t="inlineStr">
        <is>
          <t>Econoframe - lengths</t>
        </is>
      </c>
      <c r="C45" s="579">
        <f>'Bonnell - Glass Pricing'!I6</f>
        <v/>
      </c>
      <c r="D45" s="207" t="n"/>
      <c r="E45" s="200">
        <f>IF(D45="y",$I$113,0)</f>
        <v/>
      </c>
      <c r="F45" s="202">
        <f>E45*$C$45</f>
        <v/>
      </c>
      <c r="G45" s="9" t="n"/>
      <c r="H45" s="200">
        <f>IF(G45="y",$I$114,0)</f>
        <v/>
      </c>
      <c r="I45" s="202">
        <f>H45*$C$45</f>
        <v/>
      </c>
      <c r="J45" s="9" t="n"/>
      <c r="K45" s="200">
        <f>IF(J45="y",$I$115,0)</f>
        <v/>
      </c>
      <c r="L45" s="202">
        <f>K45*$C$45</f>
        <v/>
      </c>
      <c r="M45" s="9" t="n"/>
      <c r="N45" s="200">
        <f>IF(M45="y",$I$116,0)</f>
        <v/>
      </c>
      <c r="O45" s="202">
        <f>N45*$C$45</f>
        <v/>
      </c>
      <c r="P45" s="206" t="n"/>
      <c r="Q45" s="200">
        <f>IF(P45="y",$I$117,0)</f>
        <v/>
      </c>
      <c r="R45" s="202">
        <f>Q45*$C$45</f>
        <v/>
      </c>
      <c r="S45" s="206" t="n"/>
      <c r="T45" s="200">
        <f>IF(S45="y",$I$118,0)</f>
        <v/>
      </c>
      <c r="U45" s="202">
        <f>T45*$C$45</f>
        <v/>
      </c>
      <c r="V45" s="206" t="n"/>
      <c r="W45" s="200">
        <f>IF(V45="y",$I$119,0)</f>
        <v/>
      </c>
      <c r="X45" s="202">
        <f>W45*$C$45</f>
        <v/>
      </c>
      <c r="Y45" s="206" t="n"/>
      <c r="Z45" s="200">
        <f>IF(Y45="y",$I$120,0)</f>
        <v/>
      </c>
      <c r="AA45" s="202">
        <f>Z45*$C$45</f>
        <v/>
      </c>
      <c r="AB45" s="238" t="n"/>
      <c r="AC45" s="200">
        <f>IF(AB45="y",$I$121,0)</f>
        <v/>
      </c>
      <c r="AD45" s="202">
        <f>AC45*$C45</f>
        <v/>
      </c>
      <c r="AE45" s="238" t="n"/>
      <c r="AF45" s="200">
        <f>IF(AE45="y",$I$122,0)</f>
        <v/>
      </c>
      <c r="AG45" s="202">
        <f>AF45*$C45</f>
        <v/>
      </c>
      <c r="AH45" s="580">
        <f>SUM(F45+I45+L45+O45+R45+U45+X45+AA45+AD45+AG45)</f>
        <v/>
      </c>
      <c r="AI45" s="69" t="n"/>
    </row>
    <row r="46" ht="14" customHeight="1" s="486">
      <c r="A46" s="209" t="n"/>
      <c r="B46" s="25" t="inlineStr">
        <is>
          <t>Round Frame 42"</t>
        </is>
      </c>
      <c r="C46" s="579" t="n">
        <v>650</v>
      </c>
      <c r="D46" s="224" t="n"/>
      <c r="E46" s="97" t="n"/>
      <c r="F46" s="10">
        <f>E46*$C$46</f>
        <v/>
      </c>
      <c r="G46" s="9" t="n"/>
      <c r="H46" s="97" t="n"/>
      <c r="I46" s="10">
        <f>H46*$C$46</f>
        <v/>
      </c>
      <c r="J46" s="9" t="n"/>
      <c r="K46" s="97" t="n"/>
      <c r="L46" s="10">
        <f>K46*$C$46</f>
        <v/>
      </c>
      <c r="M46" s="9" t="n"/>
      <c r="N46" s="97" t="n"/>
      <c r="O46" s="10">
        <f>N46*$C$46</f>
        <v/>
      </c>
      <c r="P46" s="9" t="n"/>
      <c r="Q46" s="97" t="n"/>
      <c r="R46" s="10">
        <f>Q46*$C$46</f>
        <v/>
      </c>
      <c r="S46" s="9" t="n"/>
      <c r="T46" s="97" t="n"/>
      <c r="U46" s="10">
        <f>T46*$C$46</f>
        <v/>
      </c>
      <c r="V46" s="9" t="n"/>
      <c r="W46" s="97" t="n"/>
      <c r="X46" s="10">
        <f>W46*$C$46</f>
        <v/>
      </c>
      <c r="Y46" s="9" t="n"/>
      <c r="Z46" s="97" t="n"/>
      <c r="AA46" s="10">
        <f>Z46*$C$46</f>
        <v/>
      </c>
      <c r="AB46" s="238" t="n"/>
      <c r="AC46" s="238" t="n"/>
      <c r="AD46" s="10">
        <f>AC46*$C$46</f>
        <v/>
      </c>
      <c r="AE46" s="238" t="n"/>
      <c r="AF46" s="238" t="n"/>
      <c r="AG46" s="10">
        <f>AF46*$C$46</f>
        <v/>
      </c>
      <c r="AH46" s="580">
        <f>SUM(F46+I46+L46+O46+R46+U46+X46+AA46+AD46+AG46)</f>
        <v/>
      </c>
      <c r="AI46" s="69" t="n"/>
    </row>
    <row r="47" ht="14" customHeight="1" s="486">
      <c r="A47" s="209" t="n"/>
      <c r="B47" s="183" t="inlineStr">
        <is>
          <t>2" Horizontal cap - Series 1000</t>
        </is>
      </c>
      <c r="C47" s="579">
        <f>'Bonnell - Glass Pricing'!I31</f>
        <v/>
      </c>
      <c r="D47" s="8" t="n"/>
      <c r="E47" s="200">
        <f>IF(D47="y",$I$113,0)</f>
        <v/>
      </c>
      <c r="F47" s="202">
        <f>E47*$C$45</f>
        <v/>
      </c>
      <c r="G47" s="9" t="n"/>
      <c r="H47" s="200">
        <f>IF(G47="y",$I$114,0)</f>
        <v/>
      </c>
      <c r="I47" s="202">
        <f>H47*$C$45</f>
        <v/>
      </c>
      <c r="J47" s="9" t="n"/>
      <c r="K47" s="200">
        <f>IF(J47="y",$I$115,0)</f>
        <v/>
      </c>
      <c r="L47" s="202">
        <f>K47*$C$45</f>
        <v/>
      </c>
      <c r="M47" s="9" t="n"/>
      <c r="N47" s="200">
        <f>IF(M47="y",$I$116,0)</f>
        <v/>
      </c>
      <c r="O47" s="202">
        <f>N47*$C$45</f>
        <v/>
      </c>
      <c r="P47" s="9" t="n"/>
      <c r="Q47" s="200">
        <f>IF(P47="y",$I$117,0)</f>
        <v/>
      </c>
      <c r="R47" s="202">
        <f>Q47*$C$45</f>
        <v/>
      </c>
      <c r="S47" s="9" t="n"/>
      <c r="T47" s="200">
        <f>IF(S47="y",$I$118,0)</f>
        <v/>
      </c>
      <c r="U47" s="202">
        <f>T47*$C$45</f>
        <v/>
      </c>
      <c r="V47" s="9" t="n"/>
      <c r="W47" s="200">
        <f>IF(V47="y",$I$119,0)</f>
        <v/>
      </c>
      <c r="X47" s="202">
        <f>W47*$C$45</f>
        <v/>
      </c>
      <c r="Y47" s="9" t="n"/>
      <c r="Z47" s="200">
        <f>IF(Y47="y",$I$120,0)</f>
        <v/>
      </c>
      <c r="AA47" s="202">
        <f>Z47*$C$45</f>
        <v/>
      </c>
      <c r="AB47" s="238" t="n"/>
      <c r="AC47" s="200">
        <f>IF(AB47="y",$I$121,0)</f>
        <v/>
      </c>
      <c r="AD47" s="202">
        <f>AC47*$C47</f>
        <v/>
      </c>
      <c r="AE47" s="238" t="n"/>
      <c r="AF47" s="200">
        <f>IF(AE47="y",$I$122,0)</f>
        <v/>
      </c>
      <c r="AG47" s="202">
        <f>AF47*$C47</f>
        <v/>
      </c>
      <c r="AH47" s="580">
        <f>SUM(F47+I47+L47+O47+R47+U47+X47+AA47+AD47+AG47)</f>
        <v/>
      </c>
      <c r="AI47" s="69" t="n"/>
    </row>
    <row r="48" ht="14" customHeight="1" s="486">
      <c r="A48" s="209" t="n"/>
      <c r="B48" s="183" t="inlineStr">
        <is>
          <t>3' Vertical cap - Series 1000</t>
        </is>
      </c>
      <c r="C48" s="579">
        <f>'Bonnell - Glass Pricing'!I32</f>
        <v/>
      </c>
      <c r="D48" s="8" t="n"/>
      <c r="E48" s="200">
        <f>IF(D48="y",$I$113,0)</f>
        <v/>
      </c>
      <c r="F48" s="202">
        <f>E48*$C$45</f>
        <v/>
      </c>
      <c r="G48" s="9" t="n"/>
      <c r="H48" s="200">
        <f>IF(G48="y",$I$114,0)</f>
        <v/>
      </c>
      <c r="I48" s="202">
        <f>H48*$C$45</f>
        <v/>
      </c>
      <c r="J48" s="9" t="n"/>
      <c r="K48" s="200">
        <f>IF(J48="y",$I$115,0)</f>
        <v/>
      </c>
      <c r="L48" s="202">
        <f>K48*$C$45</f>
        <v/>
      </c>
      <c r="M48" s="9" t="n"/>
      <c r="N48" s="200">
        <f>IF(M48="y",$I$116,0)</f>
        <v/>
      </c>
      <c r="O48" s="202">
        <f>N48*$C$45</f>
        <v/>
      </c>
      <c r="P48" s="9" t="n"/>
      <c r="Q48" s="200">
        <f>IF(P48="y",$I$117,0)</f>
        <v/>
      </c>
      <c r="R48" s="202">
        <f>Q48*$C$45</f>
        <v/>
      </c>
      <c r="S48" s="9" t="n"/>
      <c r="T48" s="200">
        <f>IF(S48="y",$I$118,0)</f>
        <v/>
      </c>
      <c r="U48" s="202">
        <f>T48*$C$45</f>
        <v/>
      </c>
      <c r="V48" s="9" t="n"/>
      <c r="W48" s="200">
        <f>IF(V48="y",$I$119,0)</f>
        <v/>
      </c>
      <c r="X48" s="202">
        <f>W48*$C$45</f>
        <v/>
      </c>
      <c r="Y48" s="9" t="n"/>
      <c r="Z48" s="200">
        <f>IF(Y48="y",$I$120,0)</f>
        <v/>
      </c>
      <c r="AA48" s="202">
        <f>Z48*$C$45</f>
        <v/>
      </c>
      <c r="AB48" s="238" t="n"/>
      <c r="AC48" s="200">
        <f>IF(AB48="y",$I$121,0)</f>
        <v/>
      </c>
      <c r="AD48" s="202">
        <f>AC48*$C48</f>
        <v/>
      </c>
      <c r="AE48" s="238" t="n"/>
      <c r="AF48" s="200">
        <f>IF(AE48="y",$I$122,0)</f>
        <v/>
      </c>
      <c r="AG48" s="202">
        <f>AF48*$C48</f>
        <v/>
      </c>
      <c r="AH48" s="580">
        <f>SUM(F48+I48+L48+O48+R48+U48+X48+AA48+AD48+AG48)</f>
        <v/>
      </c>
      <c r="AI48" s="69" t="n"/>
    </row>
    <row r="49" ht="14" customHeight="1" s="486">
      <c r="A49" s="209" t="n"/>
      <c r="B49" s="183" t="inlineStr">
        <is>
          <t>Custom fab</t>
        </is>
      </c>
      <c r="C49" s="579" t="n"/>
      <c r="D49" s="18" t="n"/>
      <c r="E49" s="20" t="n"/>
      <c r="F49" s="583" t="n"/>
      <c r="G49" s="9" t="n"/>
      <c r="H49" s="20" t="n"/>
      <c r="I49" s="9" t="n"/>
      <c r="J49" s="9" t="n"/>
      <c r="K49" s="20" t="n"/>
      <c r="L49" s="9" t="n"/>
      <c r="M49" s="9" t="n"/>
      <c r="N49" s="20" t="n"/>
      <c r="O49" s="9" t="n"/>
      <c r="P49" s="9" t="n"/>
      <c r="Q49" s="20" t="n"/>
      <c r="R49" s="9" t="n"/>
      <c r="S49" s="9" t="n"/>
      <c r="T49" s="20" t="n"/>
      <c r="U49" s="9" t="n"/>
      <c r="V49" s="9" t="n"/>
      <c r="W49" s="20" t="n"/>
      <c r="X49" s="9" t="n"/>
      <c r="Y49" s="9" t="n"/>
      <c r="Z49" s="20" t="n"/>
      <c r="AA49" s="9" t="n"/>
      <c r="AB49" s="238" t="n"/>
      <c r="AC49" s="238" t="n"/>
      <c r="AD49" s="238" t="n"/>
      <c r="AE49" s="238" t="n"/>
      <c r="AF49" s="238" t="n"/>
      <c r="AG49" s="238" t="n"/>
      <c r="AH49" s="580">
        <f>SUM(F49+I49+L49+O49+R49+U49+X49+AA49+AD49+AG49)</f>
        <v/>
      </c>
      <c r="AI49" s="69" t="n"/>
    </row>
    <row r="50" ht="14" customHeight="1" s="486">
      <c r="A50" s="209" t="n"/>
      <c r="B50" s="24" t="inlineStr">
        <is>
          <t>Cross Beam</t>
        </is>
      </c>
      <c r="C50" s="577" t="n"/>
      <c r="D50" s="18" t="n"/>
      <c r="E50" s="20" t="n"/>
      <c r="F50" s="19" t="n"/>
      <c r="G50" s="19" t="n"/>
      <c r="H50" s="20" t="n"/>
      <c r="I50" s="19" t="n"/>
      <c r="J50" s="19" t="n"/>
      <c r="K50" s="20" t="n"/>
      <c r="L50" s="19" t="n"/>
      <c r="M50" s="19" t="n"/>
      <c r="N50" s="20" t="n"/>
      <c r="O50" s="19" t="n"/>
      <c r="P50" s="64" t="n"/>
      <c r="Q50" s="66" t="n"/>
      <c r="R50" s="19" t="n"/>
      <c r="S50" s="64" t="n"/>
      <c r="T50" s="66" t="n"/>
      <c r="U50" s="19" t="n"/>
      <c r="V50" s="64" t="n"/>
      <c r="W50" s="66" t="n"/>
      <c r="X50" s="19" t="n"/>
      <c r="Y50" s="64" t="n"/>
      <c r="Z50" s="66" t="n"/>
      <c r="AA50" s="19" t="n"/>
      <c r="AB50" s="236" t="n"/>
      <c r="AC50" s="236" t="n"/>
      <c r="AD50" s="236" t="n"/>
      <c r="AE50" s="236" t="n"/>
      <c r="AF50" s="236" t="n"/>
      <c r="AG50" s="236" t="n"/>
      <c r="AH50" s="580" t="n"/>
      <c r="AI50" s="69" t="n"/>
    </row>
    <row r="51" ht="14" customHeight="1" s="486">
      <c r="A51" s="209" t="n"/>
      <c r="B51" s="183" t="inlineStr">
        <is>
          <t>Series 1000 T - Section thermally Broken</t>
        </is>
      </c>
      <c r="C51" s="579">
        <f>'Bonnell - Glass Pricing'!H11</f>
        <v/>
      </c>
      <c r="D51" s="8" t="n"/>
      <c r="E51" s="200">
        <f>IF(D51="y",$N$113,0)/12</f>
        <v/>
      </c>
      <c r="F51" s="202">
        <f>E51*$C51</f>
        <v/>
      </c>
      <c r="G51" s="206" t="n"/>
      <c r="H51" s="200">
        <f>IF(G51="y",$N$114,0)/12</f>
        <v/>
      </c>
      <c r="I51" s="202">
        <f>H51*$C51</f>
        <v/>
      </c>
      <c r="J51" s="206" t="n"/>
      <c r="K51" s="200">
        <f>IF(J51="y",$N$115,0)/12</f>
        <v/>
      </c>
      <c r="L51" s="202">
        <f>K51*$C51</f>
        <v/>
      </c>
      <c r="M51" s="206" t="n"/>
      <c r="N51" s="200">
        <f>IF(M51="y",$N$116,0)/12</f>
        <v/>
      </c>
      <c r="O51" s="202">
        <f>N51*$C51</f>
        <v/>
      </c>
      <c r="P51" s="9" t="n"/>
      <c r="Q51" s="200">
        <f>IF(P51="y",$N$117,0)/12</f>
        <v/>
      </c>
      <c r="R51" s="202">
        <f>Q51*$C51</f>
        <v/>
      </c>
      <c r="S51" s="206" t="n"/>
      <c r="T51" s="200">
        <f>IF(S51="y",$N$118,0)/12</f>
        <v/>
      </c>
      <c r="U51" s="202">
        <f>T51*$C51</f>
        <v/>
      </c>
      <c r="V51" s="9" t="n"/>
      <c r="W51" s="200">
        <f>IF(V51="y",$N$119,0)/12</f>
        <v/>
      </c>
      <c r="X51" s="202">
        <f>W51*$C51</f>
        <v/>
      </c>
      <c r="Y51" s="206" t="n"/>
      <c r="Z51" s="200">
        <f>IF(Y51="y",$N$120,0)/12</f>
        <v/>
      </c>
      <c r="AA51" s="202">
        <f>Z51*$C51</f>
        <v/>
      </c>
      <c r="AB51" s="238" t="n"/>
      <c r="AC51" s="200">
        <f>IF(AB51="y",$N$121,0)/12</f>
        <v/>
      </c>
      <c r="AD51" s="202">
        <f>AC51*$C51</f>
        <v/>
      </c>
      <c r="AE51" s="238" t="n"/>
      <c r="AF51" s="200">
        <f>IF(AE51="y",$N$122,0)/12</f>
        <v/>
      </c>
      <c r="AG51" s="202">
        <f>AF51*$C51</f>
        <v/>
      </c>
      <c r="AH51" s="580">
        <f>SUM(F51+I51+L51+O51+R51+U51+X51+AA51+AD51+AG51)</f>
        <v/>
      </c>
      <c r="AI51" s="69" t="n"/>
    </row>
    <row r="52" ht="14" customHeight="1" s="486">
      <c r="A52" s="209" t="n"/>
      <c r="B52" s="183" t="inlineStr">
        <is>
          <t>Series 1000 I - Beam thermally broken</t>
        </is>
      </c>
      <c r="C52" s="579">
        <f>'Bonnell - Glass Pricing'!H13</f>
        <v/>
      </c>
      <c r="D52" s="207" t="n"/>
      <c r="E52" s="200">
        <f>IF(D52="y",$N$113,0)/12</f>
        <v/>
      </c>
      <c r="F52" s="202">
        <f>E52*$C52</f>
        <v/>
      </c>
      <c r="G52" s="206" t="n"/>
      <c r="H52" s="200">
        <f>IF(G52="y",$N$114,0)/12</f>
        <v/>
      </c>
      <c r="I52" s="202">
        <f>H52*$C52</f>
        <v/>
      </c>
      <c r="J52" s="206" t="n"/>
      <c r="K52" s="200">
        <f>IF(J52="y",$N$115,0)/12</f>
        <v/>
      </c>
      <c r="L52" s="202">
        <f>K52*$C52</f>
        <v/>
      </c>
      <c r="M52" s="206" t="n"/>
      <c r="N52" s="200">
        <f>IF(M52="y",$N$116,0)/12</f>
        <v/>
      </c>
      <c r="O52" s="202">
        <f>N52*$C52</f>
        <v/>
      </c>
      <c r="P52" s="206" t="n"/>
      <c r="Q52" s="200">
        <f>IF(P52="y",$N$117,0)/12</f>
        <v/>
      </c>
      <c r="R52" s="202">
        <f>Q52*$C52</f>
        <v/>
      </c>
      <c r="S52" s="206" t="n"/>
      <c r="T52" s="200">
        <f>IF(S52="y",$N$118,0)/12</f>
        <v/>
      </c>
      <c r="U52" s="202">
        <f>T52*$C52</f>
        <v/>
      </c>
      <c r="V52" s="206" t="n"/>
      <c r="W52" s="200">
        <f>IF(V52="y",$N$119,0)/12</f>
        <v/>
      </c>
      <c r="X52" s="202">
        <f>W52*$C52</f>
        <v/>
      </c>
      <c r="Y52" s="206" t="n"/>
      <c r="Z52" s="200">
        <f>IF(Y52="y",$N$120,0)/12</f>
        <v/>
      </c>
      <c r="AA52" s="202">
        <f>Z52*$C52</f>
        <v/>
      </c>
      <c r="AB52" s="249" t="n"/>
      <c r="AC52" s="200">
        <f>IF(AB52="y",$N$121,0)/12</f>
        <v/>
      </c>
      <c r="AD52" s="202">
        <f>AC52*$C52</f>
        <v/>
      </c>
      <c r="AE52" s="249" t="n"/>
      <c r="AF52" s="200">
        <f>IF(AE52="y",$N$122,0)/12</f>
        <v/>
      </c>
      <c r="AG52" s="202">
        <f>AF52*$C52</f>
        <v/>
      </c>
      <c r="AH52" s="580">
        <f>SUM(F52+I52+L52+O52+R52+U52+X52+AA52+AD52+AG52)</f>
        <v/>
      </c>
      <c r="AI52" s="69" t="n"/>
    </row>
    <row r="53" ht="14" customHeight="1" s="486">
      <c r="A53" s="209" t="n"/>
      <c r="B53" s="183" t="inlineStr">
        <is>
          <t xml:space="preserve">Series 1000 T - Section </t>
        </is>
      </c>
      <c r="C53" s="579">
        <f>'Bonnell - Glass Pricing'!H10</f>
        <v/>
      </c>
      <c r="D53" s="8" t="n"/>
      <c r="E53" s="200">
        <f>IF(D53="y",$N$113,0)/12</f>
        <v/>
      </c>
      <c r="F53" s="202">
        <f>E53*$C53</f>
        <v/>
      </c>
      <c r="G53" s="206" t="n"/>
      <c r="H53" s="200">
        <f>IF(G53="y",$N$114,0)/12</f>
        <v/>
      </c>
      <c r="I53" s="202">
        <f>H53*$C53</f>
        <v/>
      </c>
      <c r="J53" s="9" t="n"/>
      <c r="K53" s="200">
        <f>IF(J53="y",$N$115,0)/12</f>
        <v/>
      </c>
      <c r="L53" s="202">
        <f>K53*$C53</f>
        <v/>
      </c>
      <c r="M53" s="206" t="n"/>
      <c r="N53" s="200">
        <f>IF(M53="y",$N$116,0)/12</f>
        <v/>
      </c>
      <c r="O53" s="202">
        <f>N53*$C53</f>
        <v/>
      </c>
      <c r="P53" s="9" t="n"/>
      <c r="Q53" s="200">
        <f>IF(P53="y",$N$117,0)/12</f>
        <v/>
      </c>
      <c r="R53" s="202">
        <f>Q53*$C53</f>
        <v/>
      </c>
      <c r="S53" s="206" t="n"/>
      <c r="T53" s="200">
        <f>IF(S53="y",$N$118,0)/12</f>
        <v/>
      </c>
      <c r="U53" s="202">
        <f>T53*$C53</f>
        <v/>
      </c>
      <c r="V53" s="9" t="n"/>
      <c r="W53" s="200">
        <f>IF(V53="y",$N$119,0)/12</f>
        <v/>
      </c>
      <c r="X53" s="202">
        <f>W53*$C53</f>
        <v/>
      </c>
      <c r="Y53" s="9" t="n"/>
      <c r="Z53" s="200">
        <f>IF(Y53="y",$N$120,0)/12</f>
        <v/>
      </c>
      <c r="AA53" s="202">
        <f>Z53*$C53</f>
        <v/>
      </c>
      <c r="AB53" s="238" t="n"/>
      <c r="AC53" s="200">
        <f>IF(AB53="y",$N$121,0)/12</f>
        <v/>
      </c>
      <c r="AD53" s="202">
        <f>AC53*$C53</f>
        <v/>
      </c>
      <c r="AE53" s="238" t="n"/>
      <c r="AF53" s="200">
        <f>IF(AE53="y",$N$122,0)/12</f>
        <v/>
      </c>
      <c r="AG53" s="202">
        <f>AF53*$C53</f>
        <v/>
      </c>
      <c r="AH53" s="580">
        <f>SUM(F53+I53+L53+O53+R53+U53+X53+AA53+AD53+AG53)</f>
        <v/>
      </c>
      <c r="AI53" s="69" t="n"/>
    </row>
    <row r="54" ht="14" customHeight="1" s="486">
      <c r="A54" s="209" t="n"/>
      <c r="B54" s="183" t="inlineStr">
        <is>
          <t xml:space="preserve">Series 1000 I - Beam </t>
        </is>
      </c>
      <c r="C54" s="579">
        <f>'Bonnell - Glass Pricing'!H12</f>
        <v/>
      </c>
      <c r="D54" s="207" t="n"/>
      <c r="E54" s="200">
        <f>IF(D54="y",$N$113,0)/12</f>
        <v/>
      </c>
      <c r="F54" s="202">
        <f>E54*$C54</f>
        <v/>
      </c>
      <c r="G54" s="9" t="n"/>
      <c r="H54" s="200">
        <f>IF(G54="y",$N$114,0)/12</f>
        <v/>
      </c>
      <c r="I54" s="202">
        <f>H54*$C54</f>
        <v/>
      </c>
      <c r="J54" s="9" t="n"/>
      <c r="K54" s="200">
        <f>IF(J54="y",$N$115,0)/12</f>
        <v/>
      </c>
      <c r="L54" s="202">
        <f>K54*$C54</f>
        <v/>
      </c>
      <c r="M54" s="9" t="n"/>
      <c r="N54" s="200">
        <f>IF(M54="y",$N$116,0)/12</f>
        <v/>
      </c>
      <c r="O54" s="202">
        <f>N54*$C54</f>
        <v/>
      </c>
      <c r="P54" s="9" t="n"/>
      <c r="Q54" s="200">
        <f>IF(P54="y",$N$117,0)/12</f>
        <v/>
      </c>
      <c r="R54" s="202">
        <f>Q54*$C54</f>
        <v/>
      </c>
      <c r="S54" s="206" t="n"/>
      <c r="T54" s="200">
        <f>IF(S54="y",$N$118,0)/12</f>
        <v/>
      </c>
      <c r="U54" s="202">
        <f>T54*$C54</f>
        <v/>
      </c>
      <c r="V54" s="206" t="n"/>
      <c r="W54" s="200">
        <f>IF(V54="y",$N$119,0)/12</f>
        <v/>
      </c>
      <c r="X54" s="202">
        <f>W54*$C54</f>
        <v/>
      </c>
      <c r="Y54" s="9" t="n"/>
      <c r="Z54" s="200">
        <f>IF(Y54="y",$N$120,0)/12</f>
        <v/>
      </c>
      <c r="AA54" s="202">
        <f>Z54*$C54</f>
        <v/>
      </c>
      <c r="AB54" s="238" t="n"/>
      <c r="AC54" s="200">
        <f>IF(AB54="y",$N$121,0)/12</f>
        <v/>
      </c>
      <c r="AD54" s="202">
        <f>AC54*$C54</f>
        <v/>
      </c>
      <c r="AE54" s="238" t="n"/>
      <c r="AF54" s="200">
        <f>IF(AE54="y",$N$122,0)/12</f>
        <v/>
      </c>
      <c r="AG54" s="202">
        <f>AF54*$C54</f>
        <v/>
      </c>
      <c r="AH54" s="580">
        <f>SUM(F54+I54+L54+O54+R54+U54+X54+AA54+AD54+AG54)</f>
        <v/>
      </c>
      <c r="AI54" s="69" t="n"/>
    </row>
    <row r="55" ht="14" customHeight="1" s="486">
      <c r="A55" s="209" t="n"/>
      <c r="B55" s="183" t="inlineStr">
        <is>
          <t>Series 2000 T section thermally broken</t>
        </is>
      </c>
      <c r="C55" s="579" t="n"/>
      <c r="D55" s="8" t="n"/>
      <c r="E55" s="200">
        <f>IF(D55="y",$N$113,0)/12</f>
        <v/>
      </c>
      <c r="F55" s="202">
        <f>E55*$C55</f>
        <v/>
      </c>
      <c r="G55" s="9" t="n"/>
      <c r="H55" s="200">
        <f>IF(G55="y",$N$114,0)/12</f>
        <v/>
      </c>
      <c r="I55" s="202">
        <f>H55*$C55</f>
        <v/>
      </c>
      <c r="J55" s="9" t="n"/>
      <c r="K55" s="200">
        <f>IF(J55="y",$N$115,0)/12</f>
        <v/>
      </c>
      <c r="L55" s="202">
        <f>K55*$C55</f>
        <v/>
      </c>
      <c r="M55" s="206" t="n"/>
      <c r="N55" s="200">
        <f>IF(M55="y",$N$116,0)/12</f>
        <v/>
      </c>
      <c r="O55" s="202">
        <f>N55*$C55</f>
        <v/>
      </c>
      <c r="P55" s="9" t="n"/>
      <c r="Q55" s="200">
        <f>IF(P55="y",$N$117,0)/12</f>
        <v/>
      </c>
      <c r="R55" s="202">
        <f>Q55*$C55</f>
        <v/>
      </c>
      <c r="S55" s="9" t="n"/>
      <c r="T55" s="200">
        <f>IF(S55="y",$N$118,0)/12</f>
        <v/>
      </c>
      <c r="U55" s="202">
        <f>T55*$C55</f>
        <v/>
      </c>
      <c r="V55" s="9" t="n"/>
      <c r="W55" s="200">
        <f>IF(V55="y",$N$119,0)/12</f>
        <v/>
      </c>
      <c r="X55" s="202">
        <f>W55*$C55</f>
        <v/>
      </c>
      <c r="Y55" s="9" t="n"/>
      <c r="Z55" s="200">
        <f>IF(Y55="y",$N$120,0)/12</f>
        <v/>
      </c>
      <c r="AA55" s="202">
        <f>Z55*$C55</f>
        <v/>
      </c>
      <c r="AB55" s="238" t="n"/>
      <c r="AC55" s="200">
        <f>IF(AB55="y",$N$121,0)/12</f>
        <v/>
      </c>
      <c r="AD55" s="202">
        <f>AC55*$C55</f>
        <v/>
      </c>
      <c r="AE55" s="238" t="n"/>
      <c r="AF55" s="200">
        <f>IF(AE55="y",$N$122,0)/12</f>
        <v/>
      </c>
      <c r="AG55" s="202">
        <f>AF55*$C55</f>
        <v/>
      </c>
      <c r="AH55" s="580">
        <f>SUM(F55+I55+L55+O55+R55+U55+X55+AA55+AD55+AG55)</f>
        <v/>
      </c>
      <c r="AI55" s="69" t="n"/>
    </row>
    <row r="56" ht="14" customHeight="1" s="486">
      <c r="A56" s="209" t="n"/>
      <c r="B56" s="183" t="inlineStr">
        <is>
          <t>Series 2000 I beam thermally broken</t>
        </is>
      </c>
      <c r="C56" s="579" t="n">
        <v>41</v>
      </c>
      <c r="D56" s="207" t="n"/>
      <c r="E56" s="200">
        <f>IF(D56="y",$N$113,0)/12</f>
        <v/>
      </c>
      <c r="F56" s="202">
        <f>E56*$C56</f>
        <v/>
      </c>
      <c r="G56" s="206" t="n"/>
      <c r="H56" s="200">
        <f>IF(G56="y",$N$114,0)/12</f>
        <v/>
      </c>
      <c r="I56" s="202">
        <f>H56*$C56</f>
        <v/>
      </c>
      <c r="J56" s="9" t="n"/>
      <c r="K56" s="200">
        <f>IF(J56="y",$N$115,0)/12</f>
        <v/>
      </c>
      <c r="L56" s="202">
        <f>K56*$C56</f>
        <v/>
      </c>
      <c r="M56" s="9" t="n"/>
      <c r="N56" s="200">
        <f>IF(M56="y",$N$116,0)/12</f>
        <v/>
      </c>
      <c r="O56" s="202">
        <f>N56*$C56</f>
        <v/>
      </c>
      <c r="P56" s="206" t="n"/>
      <c r="Q56" s="200">
        <f>IF(P56="y",$N$117,0)/12</f>
        <v/>
      </c>
      <c r="R56" s="202">
        <f>Q56*$C56</f>
        <v/>
      </c>
      <c r="S56" s="9" t="n"/>
      <c r="T56" s="200">
        <f>IF(S56="y",$N$118,0)/12</f>
        <v/>
      </c>
      <c r="U56" s="202">
        <f>T56*$C56</f>
        <v/>
      </c>
      <c r="V56" s="9" t="n"/>
      <c r="W56" s="200">
        <f>IF(V56="y",$N$119,0)/12</f>
        <v/>
      </c>
      <c r="X56" s="202">
        <f>W56*$C56</f>
        <v/>
      </c>
      <c r="Y56" s="9" t="n"/>
      <c r="Z56" s="200">
        <f>IF(Y56="y",$N$120,0)/12</f>
        <v/>
      </c>
      <c r="AA56" s="202">
        <f>Z56*$C56</f>
        <v/>
      </c>
      <c r="AB56" s="238" t="n"/>
      <c r="AC56" s="200">
        <f>IF(AB56="y",$N$121,0)/12</f>
        <v/>
      </c>
      <c r="AD56" s="202">
        <f>AC56*$C56</f>
        <v/>
      </c>
      <c r="AE56" s="238" t="n"/>
      <c r="AF56" s="200">
        <f>IF(AE56="y",$N$122,0)/12</f>
        <v/>
      </c>
      <c r="AG56" s="202">
        <f>AF56*$C56</f>
        <v/>
      </c>
      <c r="AH56" s="580">
        <f>SUM(F56+I56+L56+O56+R56+U56+X56+AA56+AD56+AG56)</f>
        <v/>
      </c>
      <c r="AI56" s="69" t="n"/>
    </row>
    <row r="57" ht="14" customHeight="1" s="486">
      <c r="A57" s="209" t="n"/>
      <c r="B57" s="25" t="inlineStr">
        <is>
          <t>Econoframe 2.5</t>
        </is>
      </c>
      <c r="C57" s="579">
        <f>'Bonnell - Glass Pricing'!I7</f>
        <v/>
      </c>
      <c r="D57" s="8" t="n"/>
      <c r="E57" s="200">
        <f>IF(D57="y",$N$113,0)/12</f>
        <v/>
      </c>
      <c r="F57" s="202">
        <f>E57*$C$57</f>
        <v/>
      </c>
      <c r="G57" s="9" t="n"/>
      <c r="H57" s="200">
        <f>IF(G57="y",$N$114,0)/12</f>
        <v/>
      </c>
      <c r="I57" s="202">
        <f>H57*$C$57</f>
        <v/>
      </c>
      <c r="J57" s="9" t="n"/>
      <c r="K57" s="200">
        <f>IF(J57="y",$N$115,0)/12</f>
        <v/>
      </c>
      <c r="L57" s="202">
        <f>K57*$C$57</f>
        <v/>
      </c>
      <c r="M57" s="206" t="n"/>
      <c r="N57" s="200">
        <f>IF(M57="y",$N$116,0)/12</f>
        <v/>
      </c>
      <c r="O57" s="202">
        <f>N57*$C$57</f>
        <v/>
      </c>
      <c r="P57" s="9" t="n"/>
      <c r="Q57" s="200">
        <f>IF(P57="y",$N$117,0)/12</f>
        <v/>
      </c>
      <c r="R57" s="202">
        <f>Q57*$C$57</f>
        <v/>
      </c>
      <c r="S57" s="206" t="n"/>
      <c r="T57" s="200">
        <f>IF(S57="y",$N$118,0)/12</f>
        <v/>
      </c>
      <c r="U57" s="202">
        <f>T57*$C$57</f>
        <v/>
      </c>
      <c r="V57" s="9" t="n"/>
      <c r="W57" s="200">
        <f>IF(V57="y",$N$119,0)/12</f>
        <v/>
      </c>
      <c r="X57" s="202">
        <f>W57*$C$57</f>
        <v/>
      </c>
      <c r="Y57" s="9" t="n"/>
      <c r="Z57" s="200">
        <f>IF(Y57="y",$N$120,0)/12</f>
        <v/>
      </c>
      <c r="AA57" s="202">
        <f>Z57*$C$57</f>
        <v/>
      </c>
      <c r="AB57" s="238" t="n"/>
      <c r="AC57" s="200">
        <f>IF(AB57="y",$N$121,0)/12</f>
        <v/>
      </c>
      <c r="AD57" s="202">
        <f>AC57*$C57</f>
        <v/>
      </c>
      <c r="AE57" s="238" t="n"/>
      <c r="AF57" s="200">
        <f>IF(AE57="y",$N$122,0)/12</f>
        <v/>
      </c>
      <c r="AG57" s="202">
        <f>AF57*$C57</f>
        <v/>
      </c>
      <c r="AH57" s="580">
        <f>SUM(F57+I57+L57+O57+R57+U57+X57+AA57+AD57+AG57)</f>
        <v/>
      </c>
      <c r="AI57" s="69" t="n"/>
    </row>
    <row r="58" ht="14" customHeight="1" s="486">
      <c r="A58" s="209" t="n"/>
      <c r="B58" s="25" t="inlineStr">
        <is>
          <t>Econoframe 3.0</t>
        </is>
      </c>
      <c r="C58" s="579">
        <f>'Bonnell - Glass Pricing'!I8</f>
        <v/>
      </c>
      <c r="D58" s="8" t="n"/>
      <c r="E58" s="200">
        <f>IF(D58="y",$N$113,0)/12</f>
        <v/>
      </c>
      <c r="F58" s="202">
        <f>E58*$C$58</f>
        <v/>
      </c>
      <c r="G58" s="9" t="n"/>
      <c r="H58" s="200">
        <f>IF(G58="y",$N$114,0)/12</f>
        <v/>
      </c>
      <c r="I58" s="202">
        <f>H58*$C$58</f>
        <v/>
      </c>
      <c r="J58" s="9" t="n"/>
      <c r="K58" s="200">
        <f>IF(J58="y",$N$115,0)/12</f>
        <v/>
      </c>
      <c r="L58" s="202">
        <f>K58*$C$58</f>
        <v/>
      </c>
      <c r="M58" s="9" t="n"/>
      <c r="N58" s="200">
        <f>IF(M58="y",$N$116,0)/12</f>
        <v/>
      </c>
      <c r="O58" s="202">
        <f>N58*$C$58</f>
        <v/>
      </c>
      <c r="P58" s="206" t="n"/>
      <c r="Q58" s="200">
        <f>IF(P58="y",$N$117,0)/12</f>
        <v/>
      </c>
      <c r="R58" s="202">
        <f>Q58*$C$58</f>
        <v/>
      </c>
      <c r="S58" s="206" t="n"/>
      <c r="T58" s="200">
        <f>IF(S58="y",$N$118,0)/12</f>
        <v/>
      </c>
      <c r="U58" s="202">
        <f>T58*$C$58</f>
        <v/>
      </c>
      <c r="V58" s="9" t="n"/>
      <c r="W58" s="200">
        <f>IF(V58="y",$N$119,0)/12</f>
        <v/>
      </c>
      <c r="X58" s="202">
        <f>W58*$C$58</f>
        <v/>
      </c>
      <c r="Y58" s="9" t="n"/>
      <c r="Z58" s="200">
        <f>IF(Y58="y",$N$120,0)/12</f>
        <v/>
      </c>
      <c r="AA58" s="202">
        <f>Z58*$C$58</f>
        <v/>
      </c>
      <c r="AB58" s="238" t="n"/>
      <c r="AC58" s="200">
        <f>IF(AB58="y",$N$121,0)/12</f>
        <v/>
      </c>
      <c r="AD58" s="202">
        <f>AC58*$C58</f>
        <v/>
      </c>
      <c r="AE58" s="238" t="n"/>
      <c r="AF58" s="200">
        <f>IF(AE58="y",$N$122,0)/12</f>
        <v/>
      </c>
      <c r="AG58" s="202">
        <f>AF58*$C58</f>
        <v/>
      </c>
      <c r="AH58" s="580">
        <f>SUM(F58+I58+L58+O58+R58+U58+X58+AA58+AD58+AG58)</f>
        <v/>
      </c>
      <c r="AI58" s="69" t="n"/>
    </row>
    <row r="59" ht="14" customHeight="1" s="486">
      <c r="A59" s="209" t="n"/>
      <c r="B59" s="6" t="inlineStr">
        <is>
          <t>Waste</t>
        </is>
      </c>
      <c r="C59" s="95" t="n">
        <v>0.1</v>
      </c>
      <c r="D59" s="18" t="n"/>
      <c r="E59" s="20" t="n"/>
      <c r="F59" s="202">
        <f>SUM(F37:F58)*$C$59</f>
        <v/>
      </c>
      <c r="G59" s="19" t="n"/>
      <c r="H59" s="20" t="n"/>
      <c r="I59" s="202">
        <f>SUM(I37:I58)*$C$59</f>
        <v/>
      </c>
      <c r="J59" s="19" t="n"/>
      <c r="K59" s="20" t="n"/>
      <c r="L59" s="202">
        <f>SUM(L37:L58)*$C$59</f>
        <v/>
      </c>
      <c r="M59" s="19" t="n"/>
      <c r="N59" s="20" t="n"/>
      <c r="O59" s="202">
        <f>SUM(O37:O58)*$C$59</f>
        <v/>
      </c>
      <c r="P59" s="64" t="n"/>
      <c r="Q59" s="66" t="n"/>
      <c r="R59" s="202">
        <f>SUM(R37:R58)*$C$59</f>
        <v/>
      </c>
      <c r="S59" s="64" t="n"/>
      <c r="T59" s="66" t="n"/>
      <c r="U59" s="202">
        <f>SUM(U37:U58)*$C$59</f>
        <v/>
      </c>
      <c r="V59" s="64" t="n"/>
      <c r="W59" s="66" t="n"/>
      <c r="X59" s="202">
        <f>SUM(X37:X58)*$C$59</f>
        <v/>
      </c>
      <c r="Y59" s="64" t="n"/>
      <c r="Z59" s="66" t="n"/>
      <c r="AA59" s="202">
        <f>SUM(AA37:AA58)*$C$59</f>
        <v/>
      </c>
      <c r="AB59" s="237" t="n"/>
      <c r="AC59" s="237" t="n"/>
      <c r="AD59" s="202">
        <f>SUM(AD37:AD58)*$C$59</f>
        <v/>
      </c>
      <c r="AE59" s="237" t="n"/>
      <c r="AF59" s="237" t="n"/>
      <c r="AG59" s="202">
        <f>SUM(AG37:AG58)*$C$59</f>
        <v/>
      </c>
      <c r="AH59" s="580">
        <f>SUM(F59+I59+L59+O59+R59+U59+X59+AA59+AD59+AG59)</f>
        <v/>
      </c>
      <c r="AI59" s="69" t="n"/>
    </row>
    <row r="60" ht="14" customHeight="1" s="486">
      <c r="A60" s="209" t="n"/>
      <c r="B60" s="336" t="inlineStr">
        <is>
          <t>Brackets - Includes $10 for paint</t>
        </is>
      </c>
      <c r="C60" s="579" t="n">
        <v>20</v>
      </c>
      <c r="D60" s="224" t="n"/>
      <c r="E60" s="210">
        <f>IF($L113&gt;0,(($K113*4)+($L113*4)+$K113*$L113*4)+4,($K113*4)+4)</f>
        <v/>
      </c>
      <c r="F60" s="10" t="n"/>
      <c r="G60" s="19" t="n"/>
      <c r="H60" s="210">
        <f>IF($L114&gt;0,(($K114*4)+($L114*4)+$K114*$L114*4)+4,($K114*4)+4)</f>
        <v/>
      </c>
      <c r="I60" s="202">
        <f>H60*$C60</f>
        <v/>
      </c>
      <c r="J60" s="19" t="n"/>
      <c r="K60" s="210">
        <f>IF($L115&gt;0,(($K115*4)+($L115*4)+$K115*$L115*4)+4,($K115*4)+4)</f>
        <v/>
      </c>
      <c r="L60" s="202">
        <f>K60*$C60</f>
        <v/>
      </c>
      <c r="M60" s="19" t="n"/>
      <c r="N60" s="210">
        <f>IF($L116&gt;0,(($K116*4)+($L116*4)+$K116*$L116*4)+4,($K116*4)+4)</f>
        <v/>
      </c>
      <c r="O60" s="202">
        <f>N60*$C60</f>
        <v/>
      </c>
      <c r="P60" s="19" t="n"/>
      <c r="Q60" s="210">
        <f>IF($L117&gt;0,(($K117*4)+($L117*4)+$K117*$L117*4)+4,($K117*4)+4)</f>
        <v/>
      </c>
      <c r="R60" s="202">
        <f>Q60*$C60</f>
        <v/>
      </c>
      <c r="S60" s="19" t="n"/>
      <c r="T60" s="210">
        <f>IF($L118&gt;0,(($K118*4)+($L118*4)+$K118*$L118*4)+4,($K118*4)+4)</f>
        <v/>
      </c>
      <c r="U60" s="202">
        <f>T60*$C60</f>
        <v/>
      </c>
      <c r="V60" s="19" t="n"/>
      <c r="W60" s="210">
        <f>IF($L119&gt;0,(($K119*4)+($L119*4)+$K119*$L119*4)+4,($K119*4)+4)</f>
        <v/>
      </c>
      <c r="X60" s="202">
        <f>W60*$C60</f>
        <v/>
      </c>
      <c r="Y60" s="19" t="n"/>
      <c r="Z60" s="210">
        <f>IF($L120&gt;0,(($K120*4)+($L120*4)+$K120*$L120*4)+4,($K120*4)+4)</f>
        <v/>
      </c>
      <c r="AA60" s="202">
        <f>Z60*$C60</f>
        <v/>
      </c>
      <c r="AB60" s="237" t="n"/>
      <c r="AC60" s="210">
        <f>IF($L121&gt;0,(($K121*4)+($L121*4)+$K121*$L121*4)+4,($K121*4)+4)</f>
        <v/>
      </c>
      <c r="AD60" s="202">
        <f>AC60*$C60</f>
        <v/>
      </c>
      <c r="AE60" s="237" t="n"/>
      <c r="AF60" s="210">
        <f>IF($L122&gt;0,(($K122*4)+($L122*4)+$K122*$L122*4)+4,($K122*4)+4)</f>
        <v/>
      </c>
      <c r="AG60" s="202">
        <f>AF60*$C60</f>
        <v/>
      </c>
      <c r="AH60" s="580">
        <f>SUM(F60+I60+L60+O60+R60+U60+X60+AA60+AD60+AG60)</f>
        <v/>
      </c>
      <c r="AI60" s="69" t="n"/>
    </row>
    <row r="61" ht="14" customHeight="1" s="486">
      <c r="A61" s="209" t="n"/>
      <c r="B61" s="15" t="inlineStr">
        <is>
          <t>Fasteners</t>
        </is>
      </c>
      <c r="C61" s="579" t="n">
        <v>9</v>
      </c>
      <c r="D61" s="18" t="n"/>
      <c r="E61" s="210">
        <f>IF($L$113&gt;0,(($K$113*12)+($L$113*12)+($K$113*$L$113*8))+16,($K$113*12)+16)</f>
        <v/>
      </c>
      <c r="F61" s="10" t="n"/>
      <c r="G61" s="19" t="n"/>
      <c r="H61" s="210">
        <f>IF($L$114&gt;0,(($K$114*12)+($L$114*12)+($K$114*$L$114*8))+16,($K$114*12)+16)</f>
        <v/>
      </c>
      <c r="I61" s="202">
        <f>H61*$C61</f>
        <v/>
      </c>
      <c r="J61" s="19" t="n"/>
      <c r="K61" s="210">
        <f>IF($L$115&gt;0,(($K$115*12)+($L$115*12)+($K$115*$L$115*8))+16,($K$115*12)+16)</f>
        <v/>
      </c>
      <c r="L61" s="202">
        <f>K61*$C61</f>
        <v/>
      </c>
      <c r="M61" s="19" t="n"/>
      <c r="N61" s="210">
        <f>IF($L$116&gt;0,(($K$116*12)+($L$116*12)+($K$116*$L$116*8))+16,($K$116*12)+16)</f>
        <v/>
      </c>
      <c r="O61" s="202">
        <f>N61*$C61</f>
        <v/>
      </c>
      <c r="P61" s="19" t="n"/>
      <c r="Q61" s="210">
        <f>IF($L$117&gt;0,(($K$117*12)+($L$117*12)+($K$117*$L$117*8))+16,($K$117*12)+16)</f>
        <v/>
      </c>
      <c r="R61" s="202">
        <f>Q61*$C61</f>
        <v/>
      </c>
      <c r="S61" s="19" t="n"/>
      <c r="T61" s="210">
        <f>IF($L$118&gt;0,(($K$118*12)+($L$118*12)+($K$118*$L$118*8))+16,($K$118*12)+16)</f>
        <v/>
      </c>
      <c r="U61" s="202">
        <f>T61*$C61</f>
        <v/>
      </c>
      <c r="V61" s="19" t="n"/>
      <c r="W61" s="210">
        <f>IF($L$119&gt;0,(($K$119*12)+($L$119*12)+($K$119*$L$119*8))+16,($K$119*12)+16)</f>
        <v/>
      </c>
      <c r="X61" s="202">
        <f>W61*$C61</f>
        <v/>
      </c>
      <c r="Y61" s="19" t="n"/>
      <c r="Z61" s="210">
        <f>IF($L$120&gt;0,(($K$120*12)+($L$120*12)+($K$120*$L$120*8))+16,($K$120*12)+16)</f>
        <v/>
      </c>
      <c r="AA61" s="202">
        <f>Z61*$C61</f>
        <v/>
      </c>
      <c r="AB61" s="237" t="n"/>
      <c r="AC61" s="210">
        <f>IF($L$121&gt;0,(($K$121*12)+($L$121*12)+($K$121*$L$121*8))+16,($K$121*12)+16)</f>
        <v/>
      </c>
      <c r="AD61" s="202">
        <f>AC61*$C61</f>
        <v/>
      </c>
      <c r="AE61" s="237" t="n"/>
      <c r="AF61" s="210">
        <f>IF($L$122&gt;0,(($K$122*12)+($L$122*12)+($K$122*$L$122*8))+16,($K$122*12)+16)</f>
        <v/>
      </c>
      <c r="AG61" s="202">
        <f>AF61*$C61</f>
        <v/>
      </c>
      <c r="AH61" s="580">
        <f>SUM(F61+I61+L61+O61+R61+U61+X61+AA61+AD61+AG61)</f>
        <v/>
      </c>
      <c r="AI61" s="69" t="n"/>
    </row>
    <row r="62" ht="14" customHeight="1" s="486">
      <c r="A62" s="209" t="n"/>
      <c r="B62" s="15" t="inlineStr">
        <is>
          <t>Silicone</t>
        </is>
      </c>
      <c r="C62" s="579" t="n">
        <v>17</v>
      </c>
      <c r="D62" s="18" t="n"/>
      <c r="E62" s="8">
        <f>E70/8</f>
        <v/>
      </c>
      <c r="F62" s="202">
        <f>E62*$C$62</f>
        <v/>
      </c>
      <c r="G62" s="19" t="n"/>
      <c r="H62" s="8" t="n"/>
      <c r="I62" s="202">
        <f>H62*$C$62</f>
        <v/>
      </c>
      <c r="J62" s="19" t="n"/>
      <c r="K62" s="8" t="n"/>
      <c r="L62" s="202">
        <f>K62*$C$62</f>
        <v/>
      </c>
      <c r="M62" s="19" t="n"/>
      <c r="N62" s="8" t="n"/>
      <c r="O62" s="202">
        <f>N62*$C$62</f>
        <v/>
      </c>
      <c r="P62" s="64" t="n"/>
      <c r="Q62" s="8" t="n"/>
      <c r="R62" s="202">
        <f>Q62*$C$62</f>
        <v/>
      </c>
      <c r="S62" s="64" t="n"/>
      <c r="T62" s="8" t="n"/>
      <c r="U62" s="202">
        <f>T62*$C$62</f>
        <v/>
      </c>
      <c r="V62" s="64" t="n"/>
      <c r="W62" s="8" t="n"/>
      <c r="X62" s="202">
        <f>W62*$C$62</f>
        <v/>
      </c>
      <c r="Y62" s="64" t="n"/>
      <c r="Z62" s="8" t="n"/>
      <c r="AA62" s="202">
        <f>Z62*$C$62</f>
        <v/>
      </c>
      <c r="AB62" s="237" t="n"/>
      <c r="AC62" s="8" t="n"/>
      <c r="AD62" s="202">
        <f>AC62*$C$62</f>
        <v/>
      </c>
      <c r="AE62" s="237" t="n"/>
      <c r="AF62" s="8" t="n"/>
      <c r="AG62" s="202">
        <f>AF62*$C$62</f>
        <v/>
      </c>
      <c r="AH62" s="580">
        <f>SUM(F62+I62+L62+O62+R62+U62+X62+AA62+AD62+AG62)</f>
        <v/>
      </c>
      <c r="AI62" s="69" t="n"/>
    </row>
    <row r="63" ht="14" customHeight="1" s="486">
      <c r="A63" s="209" t="n"/>
      <c r="B63" s="17" t="inlineStr">
        <is>
          <t>Gasket LF</t>
        </is>
      </c>
      <c r="C63" s="577" t="n"/>
      <c r="D63" s="18" t="n"/>
      <c r="E63" s="20" t="n"/>
      <c r="F63" s="19" t="n"/>
      <c r="G63" s="19" t="n"/>
      <c r="H63" s="18" t="n"/>
      <c r="I63" s="19" t="n"/>
      <c r="J63" s="19" t="n"/>
      <c r="K63" s="18" t="n"/>
      <c r="L63" s="19" t="n"/>
      <c r="M63" s="19" t="n"/>
      <c r="N63" s="18" t="n"/>
      <c r="O63" s="19" t="n"/>
      <c r="P63" s="64" t="n"/>
      <c r="Q63" s="65" t="n"/>
      <c r="R63" s="19" t="n"/>
      <c r="S63" s="64" t="n"/>
      <c r="T63" s="65" t="n"/>
      <c r="U63" s="19" t="n"/>
      <c r="V63" s="64" t="n"/>
      <c r="W63" s="65" t="n"/>
      <c r="X63" s="19" t="n"/>
      <c r="Y63" s="64" t="n"/>
      <c r="Z63" s="65" t="n"/>
      <c r="AA63" s="19" t="n"/>
      <c r="AB63" s="236" t="n"/>
      <c r="AC63" s="236" t="n"/>
      <c r="AD63" s="236" t="n"/>
      <c r="AE63" s="236" t="n"/>
      <c r="AF63" s="236" t="n"/>
      <c r="AG63" s="236" t="n"/>
      <c r="AH63" s="580" t="n"/>
      <c r="AI63" s="69" t="n"/>
    </row>
    <row r="64" ht="14" customHeight="1" s="486">
      <c r="A64" s="209" t="n"/>
      <c r="B64" s="5" t="inlineStr">
        <is>
          <t>Perimeter</t>
        </is>
      </c>
      <c r="C64" s="579" t="n">
        <v>3</v>
      </c>
      <c r="D64" s="18" t="n"/>
      <c r="E64" s="200">
        <f>I113</f>
        <v/>
      </c>
      <c r="F64" s="202">
        <f>E64*$C64</f>
        <v/>
      </c>
      <c r="G64" s="19" t="n"/>
      <c r="H64" s="200">
        <f>I114</f>
        <v/>
      </c>
      <c r="I64" s="202">
        <f>H64*$C64</f>
        <v/>
      </c>
      <c r="J64" s="19" t="n"/>
      <c r="K64" s="200">
        <f>I115</f>
        <v/>
      </c>
      <c r="L64" s="202">
        <f>K64*$C64</f>
        <v/>
      </c>
      <c r="M64" s="19" t="n"/>
      <c r="N64" s="200">
        <f>I116</f>
        <v/>
      </c>
      <c r="O64" s="202">
        <f>N64*$C64</f>
        <v/>
      </c>
      <c r="P64" s="19" t="n"/>
      <c r="Q64" s="200">
        <f>I117</f>
        <v/>
      </c>
      <c r="R64" s="202">
        <f>Q64*$C64</f>
        <v/>
      </c>
      <c r="S64" s="19" t="n"/>
      <c r="T64" s="200">
        <f>I118</f>
        <v/>
      </c>
      <c r="U64" s="202">
        <f>T64*$C64</f>
        <v/>
      </c>
      <c r="V64" s="19" t="n"/>
      <c r="W64" s="200">
        <f>I119</f>
        <v/>
      </c>
      <c r="X64" s="202">
        <f>W64*$C64</f>
        <v/>
      </c>
      <c r="Y64" s="19" t="n"/>
      <c r="Z64" s="200">
        <f>I120</f>
        <v/>
      </c>
      <c r="AA64" s="202">
        <f>Z64*$C64</f>
        <v/>
      </c>
      <c r="AB64" s="237" t="n"/>
      <c r="AC64" s="200">
        <f>I121</f>
        <v/>
      </c>
      <c r="AD64" s="202">
        <f>AC64*$C64</f>
        <v/>
      </c>
      <c r="AE64" s="237" t="n"/>
      <c r="AF64" s="200">
        <f>I122</f>
        <v/>
      </c>
      <c r="AG64" s="202">
        <f>AF64*$C64</f>
        <v/>
      </c>
      <c r="AH64" s="580">
        <f>SUM(F64+I64+L64+O64+R64+U64+X64+AA64+AD64+AG64)</f>
        <v/>
      </c>
      <c r="AI64" s="69" t="n"/>
    </row>
    <row r="65" ht="14" customHeight="1" s="486">
      <c r="A65" s="209" t="n"/>
      <c r="B65" s="5" t="inlineStr">
        <is>
          <t>Rafters</t>
        </is>
      </c>
      <c r="C65" s="579" t="n">
        <v>3</v>
      </c>
      <c r="D65" s="18" t="n"/>
      <c r="E65" s="200">
        <f>N113/12</f>
        <v/>
      </c>
      <c r="F65" s="202">
        <f>E65*$C65</f>
        <v/>
      </c>
      <c r="G65" s="19" t="n"/>
      <c r="H65" s="200">
        <f>N114/12</f>
        <v/>
      </c>
      <c r="I65" s="202">
        <f>H65*$C65</f>
        <v/>
      </c>
      <c r="J65" s="19" t="n"/>
      <c r="K65" s="200">
        <f>N115/12</f>
        <v/>
      </c>
      <c r="L65" s="202">
        <f>K65*$C65</f>
        <v/>
      </c>
      <c r="M65" s="19" t="n"/>
      <c r="N65" s="200">
        <f>N116/12</f>
        <v/>
      </c>
      <c r="O65" s="202">
        <f>N65*$C65</f>
        <v/>
      </c>
      <c r="P65" s="19" t="n"/>
      <c r="Q65" s="200">
        <f>N117/12</f>
        <v/>
      </c>
      <c r="R65" s="202">
        <f>Q65*$C65</f>
        <v/>
      </c>
      <c r="S65" s="19" t="n"/>
      <c r="T65" s="200">
        <f>N118/12</f>
        <v/>
      </c>
      <c r="U65" s="202">
        <f>T65*$C65</f>
        <v/>
      </c>
      <c r="V65" s="19" t="n"/>
      <c r="W65" s="200">
        <f>N119/12</f>
        <v/>
      </c>
      <c r="X65" s="202">
        <f>W65*$C65</f>
        <v/>
      </c>
      <c r="Y65" s="19" t="n"/>
      <c r="Z65" s="200">
        <f>N120/12</f>
        <v/>
      </c>
      <c r="AA65" s="202">
        <f>Z65*$C65</f>
        <v/>
      </c>
      <c r="AB65" s="237" t="n"/>
      <c r="AC65" s="200">
        <f>N121/12</f>
        <v/>
      </c>
      <c r="AD65" s="202">
        <f>AC65*$C65</f>
        <v/>
      </c>
      <c r="AE65" s="237" t="n"/>
      <c r="AF65" s="200">
        <f>N122/12</f>
        <v/>
      </c>
      <c r="AG65" s="202">
        <f>AF65*$C65</f>
        <v/>
      </c>
      <c r="AH65" s="580">
        <f>SUM(F65+I65+L65+O65+R65+U65+X65+AA65+AD65+AG65)</f>
        <v/>
      </c>
      <c r="AI65" s="69" t="n"/>
    </row>
    <row r="66" ht="14" customHeight="1" s="486">
      <c r="B66" s="185" t="inlineStr">
        <is>
          <t>Custom gasket</t>
        </is>
      </c>
      <c r="C66" s="579" t="n">
        <v>0</v>
      </c>
      <c r="D66" s="466" t="n"/>
      <c r="E66" s="14" t="n"/>
      <c r="F66" s="10" t="n"/>
      <c r="G66" s="10" t="n"/>
      <c r="H66" s="14" t="n"/>
      <c r="I66" s="10" t="n"/>
      <c r="J66" s="10" t="n"/>
      <c r="K66" s="14" t="n"/>
      <c r="L66" s="10" t="n"/>
      <c r="M66" s="10" t="n"/>
      <c r="N66" s="14" t="n"/>
      <c r="O66" s="10" t="n"/>
      <c r="P66" s="10" t="n"/>
      <c r="Q66" s="14" t="n"/>
      <c r="R66" s="10" t="n"/>
      <c r="S66" s="10" t="n"/>
      <c r="T66" s="14" t="n"/>
      <c r="U66" s="10" t="n"/>
      <c r="V66" s="10" t="n"/>
      <c r="W66" s="14" t="n"/>
      <c r="X66" s="10" t="n"/>
      <c r="Y66" s="10" t="n"/>
      <c r="Z66" s="14" t="n"/>
      <c r="AA66" s="10" t="n"/>
      <c r="AB66" s="237" t="n"/>
      <c r="AC66" s="237" t="n"/>
      <c r="AD66" s="237" t="n"/>
      <c r="AE66" s="237" t="n"/>
      <c r="AF66" s="237" t="n"/>
      <c r="AG66" s="237" t="n"/>
      <c r="AH66" s="580">
        <f>SUM(F66+I66+L66+O66+R66+U66+X66+AA66+AD66+AG66)</f>
        <v/>
      </c>
      <c r="AI66" s="69" t="n"/>
    </row>
    <row r="67" ht="14" customHeight="1" s="486">
      <c r="A67" s="209" t="n"/>
      <c r="B67" s="5" t="inlineStr">
        <is>
          <t>3m tape</t>
        </is>
      </c>
      <c r="C67" s="579" t="n">
        <v>0.95</v>
      </c>
      <c r="D67" s="207" t="n"/>
      <c r="E67" s="200">
        <f>IF(D67="y",E64+E65,0)</f>
        <v/>
      </c>
      <c r="F67" s="202">
        <f>E67*$C67</f>
        <v/>
      </c>
      <c r="G67" s="206" t="n"/>
      <c r="H67" s="200">
        <f>IF(G67="y",H64+H65,0)</f>
        <v/>
      </c>
      <c r="I67" s="202">
        <f>H67*$C67</f>
        <v/>
      </c>
      <c r="J67" s="206" t="n"/>
      <c r="K67" s="200">
        <f>IF(J67="y",K64+K65,0)</f>
        <v/>
      </c>
      <c r="L67" s="202">
        <f>K67*$C67</f>
        <v/>
      </c>
      <c r="M67" s="206" t="n"/>
      <c r="N67" s="200">
        <f>IF(M67="y",N64+N65,0)</f>
        <v/>
      </c>
      <c r="O67" s="202">
        <f>N67*$C67</f>
        <v/>
      </c>
      <c r="P67" s="206" t="n"/>
      <c r="Q67" s="200">
        <f>IF(P67="y",Q64+Q65,0)</f>
        <v/>
      </c>
      <c r="R67" s="202">
        <f>Q67*$C67</f>
        <v/>
      </c>
      <c r="S67" s="206" t="n"/>
      <c r="T67" s="200">
        <f>IF(S67="y",T64+T65,0)</f>
        <v/>
      </c>
      <c r="U67" s="202">
        <f>T67*$C67</f>
        <v/>
      </c>
      <c r="V67" s="206" t="n"/>
      <c r="W67" s="200">
        <f>IF(V67="y",W64+W65,0)</f>
        <v/>
      </c>
      <c r="X67" s="202">
        <f>W67*$C67</f>
        <v/>
      </c>
      <c r="Y67" s="206" t="n"/>
      <c r="Z67" s="200">
        <f>IF(Y67="y",Z64+Z65,0)</f>
        <v/>
      </c>
      <c r="AA67" s="202">
        <f>Z67*$C67</f>
        <v/>
      </c>
      <c r="AB67" s="238" t="n"/>
      <c r="AC67" s="200">
        <f>IF(AB67="y",AC64+AC65,0)</f>
        <v/>
      </c>
      <c r="AD67" s="202">
        <f>AC67*$C67</f>
        <v/>
      </c>
      <c r="AE67" s="238" t="n"/>
      <c r="AF67" s="200">
        <f>IF(AE67="y",AF64+AF65,0)</f>
        <v/>
      </c>
      <c r="AG67" s="202">
        <f>AF67*$C67</f>
        <v/>
      </c>
      <c r="AH67" s="580">
        <f>SUM(F67+I67+L67+O67+R67+U67+X67+AA67+AD67+AG67)</f>
        <v/>
      </c>
      <c r="AI67" s="69" t="n"/>
    </row>
    <row r="68" ht="14" customHeight="1" s="486">
      <c r="A68" s="209" t="n"/>
      <c r="B68" s="17" t="inlineStr">
        <is>
          <t>Shop Fabrication</t>
        </is>
      </c>
      <c r="C68" s="577" t="n"/>
      <c r="D68" s="18" t="n"/>
      <c r="E68" s="18" t="n"/>
      <c r="F68" s="19" t="n"/>
      <c r="G68" s="19" t="n"/>
      <c r="H68" s="18" t="n"/>
      <c r="I68" s="19" t="n"/>
      <c r="J68" s="19" t="n"/>
      <c r="K68" s="18" t="n"/>
      <c r="L68" s="19" t="n"/>
      <c r="M68" s="19" t="n"/>
      <c r="N68" s="18" t="n"/>
      <c r="O68" s="19" t="n"/>
      <c r="P68" s="64" t="n"/>
      <c r="Q68" s="65" t="n"/>
      <c r="R68" s="19" t="n"/>
      <c r="S68" s="64" t="n"/>
      <c r="T68" s="65" t="n"/>
      <c r="U68" s="19" t="n"/>
      <c r="V68" s="64" t="n"/>
      <c r="W68" s="65" t="n"/>
      <c r="X68" s="19" t="n"/>
      <c r="Y68" s="64" t="n"/>
      <c r="Z68" s="65" t="n"/>
      <c r="AA68" s="19" t="n"/>
      <c r="AB68" s="236" t="n"/>
      <c r="AC68" s="236" t="n"/>
      <c r="AD68" s="236" t="n"/>
      <c r="AE68" s="236" t="n"/>
      <c r="AF68" s="236" t="n"/>
      <c r="AG68" s="236" t="n"/>
      <c r="AH68" s="580" t="n"/>
      <c r="AI68" s="69" t="n"/>
    </row>
    <row r="69" ht="14" customHeight="1" s="486">
      <c r="A69" s="209" t="n"/>
      <c r="B69" s="5" t="inlineStr">
        <is>
          <t>Man Hours</t>
        </is>
      </c>
      <c r="C69" s="579" t="n">
        <v>68</v>
      </c>
      <c r="D69" s="18" t="n"/>
      <c r="E69" s="8" t="n"/>
      <c r="F69" s="202">
        <f>E69*$C69</f>
        <v/>
      </c>
      <c r="G69" s="19" t="n"/>
      <c r="H69" s="8" t="n"/>
      <c r="I69" s="202">
        <f>H69*$C69</f>
        <v/>
      </c>
      <c r="J69" s="19" t="n"/>
      <c r="K69" s="8" t="n"/>
      <c r="L69" s="202">
        <f>K69*$C69</f>
        <v/>
      </c>
      <c r="M69" s="19" t="n"/>
      <c r="N69" s="8" t="n"/>
      <c r="O69" s="202">
        <f>N69*$C69</f>
        <v/>
      </c>
      <c r="P69" s="19" t="n"/>
      <c r="Q69" s="8" t="n"/>
      <c r="R69" s="202">
        <f>Q69*$C69</f>
        <v/>
      </c>
      <c r="S69" s="19" t="n"/>
      <c r="T69" s="8" t="n"/>
      <c r="U69" s="202">
        <f>T69*$C69</f>
        <v/>
      </c>
      <c r="V69" s="19" t="n"/>
      <c r="W69" s="8" t="n"/>
      <c r="X69" s="202">
        <f>W69*$C69</f>
        <v/>
      </c>
      <c r="Y69" s="19" t="n"/>
      <c r="Z69" s="8" t="n"/>
      <c r="AA69" s="202">
        <f>Z69*$C69</f>
        <v/>
      </c>
      <c r="AB69" s="237" t="n"/>
      <c r="AC69" s="238" t="n"/>
      <c r="AD69" s="202">
        <f>AC69*$C69</f>
        <v/>
      </c>
      <c r="AE69" s="237" t="n"/>
      <c r="AF69" s="238" t="n"/>
      <c r="AG69" s="202">
        <f>AF69*$C69</f>
        <v/>
      </c>
      <c r="AH69" s="580">
        <f>SUM(F69+I69+L69+O69+R69+U69+X69+AA69+AD69+AG69)</f>
        <v/>
      </c>
      <c r="AI69" s="69" t="n"/>
    </row>
    <row r="70" ht="14" customHeight="1" s="486">
      <c r="A70" s="209" t="n"/>
      <c r="B70" s="5" t="inlineStr">
        <is>
          <t>Paint by LF</t>
        </is>
      </c>
      <c r="C70" s="579" t="n">
        <v>31</v>
      </c>
      <c r="D70" s="18" t="n"/>
      <c r="E70" s="200">
        <f>SUM(E64:E65)</f>
        <v/>
      </c>
      <c r="F70" s="202">
        <f>E70*$C70</f>
        <v/>
      </c>
      <c r="G70" s="19" t="n"/>
      <c r="H70" s="200">
        <f>SUM(H64:H65)</f>
        <v/>
      </c>
      <c r="I70" s="202">
        <f>H70*$C70</f>
        <v/>
      </c>
      <c r="J70" s="19" t="n"/>
      <c r="K70" s="200">
        <f>SUM(K64:K65)</f>
        <v/>
      </c>
      <c r="L70" s="202">
        <f>K70*$C70</f>
        <v/>
      </c>
      <c r="M70" s="19" t="n"/>
      <c r="N70" s="200">
        <f>SUM(N64:N65)</f>
        <v/>
      </c>
      <c r="O70" s="202">
        <f>N70*$C70</f>
        <v/>
      </c>
      <c r="P70" s="19" t="n"/>
      <c r="Q70" s="200">
        <f>SUM(Q64:Q65)</f>
        <v/>
      </c>
      <c r="R70" s="202">
        <f>Q70*$C70</f>
        <v/>
      </c>
      <c r="S70" s="19" t="n"/>
      <c r="T70" s="200">
        <f>SUM(T64:T65)</f>
        <v/>
      </c>
      <c r="U70" s="202">
        <f>T70*$C70</f>
        <v/>
      </c>
      <c r="V70" s="19" t="n"/>
      <c r="W70" s="200">
        <f>SUM(W64:W65)</f>
        <v/>
      </c>
      <c r="X70" s="202">
        <f>W70*$C70</f>
        <v/>
      </c>
      <c r="Y70" s="19" t="n"/>
      <c r="Z70" s="200">
        <f>SUM(Z64:Z65)</f>
        <v/>
      </c>
      <c r="AA70" s="202">
        <f>Z70*$C70</f>
        <v/>
      </c>
      <c r="AB70" s="237" t="n"/>
      <c r="AC70" s="200">
        <f>SUM(AC64:AC65)</f>
        <v/>
      </c>
      <c r="AD70" s="202">
        <f>AC70*$C70</f>
        <v/>
      </c>
      <c r="AE70" s="237" t="n"/>
      <c r="AF70" s="200">
        <f>SUM(AF64:AF65)</f>
        <v/>
      </c>
      <c r="AG70" s="202">
        <f>AF70*$C70</f>
        <v/>
      </c>
      <c r="AH70" s="580">
        <f>SUM(F70+I70+L70+O70+R70+U70+X70+AA70+AD70+AG70)</f>
        <v/>
      </c>
      <c r="AI70" s="69" t="n"/>
    </row>
    <row r="71" ht="14" customHeight="1" s="486">
      <c r="A71" s="209" t="n"/>
      <c r="B71" s="5" t="inlineStr">
        <is>
          <t>Packaging</t>
        </is>
      </c>
      <c r="C71" s="579" t="n">
        <v>150</v>
      </c>
      <c r="D71" s="18" t="n"/>
      <c r="E71" s="8" t="n">
        <v>1</v>
      </c>
      <c r="F71" s="202">
        <f>E71*$C71</f>
        <v/>
      </c>
      <c r="G71" s="19" t="n"/>
      <c r="H71" s="8" t="n"/>
      <c r="I71" s="202">
        <f>H71*$C71</f>
        <v/>
      </c>
      <c r="J71" s="19" t="n"/>
      <c r="K71" s="8" t="n"/>
      <c r="L71" s="202">
        <f>K71*$C71</f>
        <v/>
      </c>
      <c r="M71" s="19" t="n"/>
      <c r="N71" s="8" t="n"/>
      <c r="O71" s="202">
        <f>N71*$C71</f>
        <v/>
      </c>
      <c r="P71" s="19" t="n"/>
      <c r="Q71" s="8" t="n"/>
      <c r="R71" s="202">
        <f>Q71*$C71</f>
        <v/>
      </c>
      <c r="S71" s="19" t="n"/>
      <c r="T71" s="8" t="n"/>
      <c r="U71" s="202">
        <f>T71*$C71</f>
        <v/>
      </c>
      <c r="V71" s="19" t="n"/>
      <c r="W71" s="8" t="n"/>
      <c r="X71" s="202">
        <f>W71*$C71</f>
        <v/>
      </c>
      <c r="Y71" s="19" t="n"/>
      <c r="Z71" s="8" t="n"/>
      <c r="AA71" s="202">
        <f>Z71*$C71</f>
        <v/>
      </c>
      <c r="AB71" s="237" t="n"/>
      <c r="AC71" s="238" t="n"/>
      <c r="AD71" s="202">
        <f>AC71*$C71</f>
        <v/>
      </c>
      <c r="AE71" s="237" t="n"/>
      <c r="AF71" s="238" t="n"/>
      <c r="AG71" s="202">
        <f>AF71*$C71</f>
        <v/>
      </c>
      <c r="AH71" s="580">
        <f>SUM(F71+I71+L71+O71+R71+U71+X71+AA71+AD71+AG71)</f>
        <v/>
      </c>
      <c r="AI71" s="69" t="n"/>
    </row>
    <row r="72" ht="14" customHeight="1" s="486">
      <c r="A72" s="209" t="n"/>
      <c r="B72" s="17" t="inlineStr">
        <is>
          <t>Additional Charges - Adds with no fees</t>
        </is>
      </c>
      <c r="C72" s="584" t="n"/>
      <c r="D72" s="214" t="n"/>
      <c r="E72" s="214" t="n"/>
      <c r="F72" s="215" t="n"/>
      <c r="G72" s="215" t="n"/>
      <c r="H72" s="214" t="n"/>
      <c r="I72" s="215" t="n"/>
      <c r="J72" s="215" t="n"/>
      <c r="K72" s="214" t="n"/>
      <c r="L72" s="215" t="n"/>
      <c r="M72" s="215" t="n"/>
      <c r="N72" s="214" t="n"/>
      <c r="O72" s="215" t="n"/>
      <c r="P72" s="216" t="n"/>
      <c r="Q72" s="218" t="n"/>
      <c r="R72" s="215" t="n"/>
      <c r="S72" s="216" t="n"/>
      <c r="T72" s="218" t="n"/>
      <c r="U72" s="215" t="n"/>
      <c r="V72" s="216" t="n"/>
      <c r="W72" s="218" t="n"/>
      <c r="X72" s="215" t="n"/>
      <c r="Y72" s="216" t="n"/>
      <c r="Z72" s="218" t="n"/>
      <c r="AA72" s="215" t="n"/>
      <c r="AB72" s="239" t="n"/>
      <c r="AC72" s="239" t="n"/>
      <c r="AD72" s="239" t="n"/>
      <c r="AE72" s="239" t="n"/>
      <c r="AF72" s="239" t="n"/>
      <c r="AG72" s="239" t="n"/>
      <c r="AH72" s="580" t="n"/>
      <c r="AI72" s="69" t="n"/>
    </row>
    <row r="73" ht="14" customHeight="1" s="486">
      <c r="A73" s="209" t="n"/>
      <c r="B73" s="5" t="inlineStr">
        <is>
          <t>Engineering</t>
        </is>
      </c>
      <c r="C73" s="213" t="n"/>
      <c r="D73" s="214" t="n"/>
      <c r="E73" s="214" t="n"/>
      <c r="F73" s="215" t="n"/>
      <c r="G73" s="215" t="n"/>
      <c r="H73" s="214" t="n"/>
      <c r="I73" s="215" t="n"/>
      <c r="J73" s="215" t="n"/>
      <c r="K73" s="214" t="n"/>
      <c r="L73" s="215" t="n"/>
      <c r="M73" s="215" t="n"/>
      <c r="N73" s="214" t="n"/>
      <c r="O73" s="215" t="n"/>
      <c r="P73" s="215" t="n"/>
      <c r="Q73" s="214" t="n"/>
      <c r="R73" s="215" t="n"/>
      <c r="S73" s="215" t="n"/>
      <c r="T73" s="214" t="n"/>
      <c r="U73" s="215" t="n"/>
      <c r="V73" s="215" t="n"/>
      <c r="W73" s="214" t="n"/>
      <c r="X73" s="215" t="n"/>
      <c r="Y73" s="215" t="n"/>
      <c r="Z73" s="214" t="n"/>
      <c r="AA73" s="215" t="n"/>
      <c r="AB73" s="239" t="n"/>
      <c r="AC73" s="239" t="n"/>
      <c r="AD73" s="239" t="n"/>
      <c r="AE73" s="239" t="n"/>
      <c r="AF73" s="239" t="n"/>
      <c r="AG73" s="239" t="n"/>
      <c r="AH73" s="580" t="n"/>
      <c r="AI73" s="69" t="n"/>
    </row>
    <row r="74" ht="14" customHeight="1" s="486">
      <c r="A74" s="209" t="n"/>
      <c r="B74" s="183" t="inlineStr">
        <is>
          <t>Stamped Drawings</t>
        </is>
      </c>
      <c r="C74" s="59" t="n">
        <v>540</v>
      </c>
      <c r="D74" s="214" t="n"/>
      <c r="E74" s="47" t="n"/>
      <c r="F74" s="202">
        <f>E74*$C74</f>
        <v/>
      </c>
      <c r="G74" s="215" t="n"/>
      <c r="H74" s="47" t="n"/>
      <c r="I74" s="202">
        <f>H74*$C74</f>
        <v/>
      </c>
      <c r="J74" s="215" t="n"/>
      <c r="K74" s="47" t="n"/>
      <c r="L74" s="202">
        <f>K74*$C74</f>
        <v/>
      </c>
      <c r="M74" s="215" t="n"/>
      <c r="N74" s="47" t="n"/>
      <c r="O74" s="202">
        <f>N74*$C74</f>
        <v/>
      </c>
      <c r="P74" s="215" t="n"/>
      <c r="Q74" s="47" t="n"/>
      <c r="R74" s="202">
        <f>Q74*$C74</f>
        <v/>
      </c>
      <c r="S74" s="215" t="n"/>
      <c r="T74" s="47" t="n"/>
      <c r="U74" s="202">
        <f>T74*$C74</f>
        <v/>
      </c>
      <c r="V74" s="215" t="n"/>
      <c r="W74" s="47" t="n"/>
      <c r="X74" s="202">
        <f>W74*$C74</f>
        <v/>
      </c>
      <c r="Y74" s="215" t="n"/>
      <c r="Z74" s="47" t="n"/>
      <c r="AA74" s="202">
        <f>Z74*$C74</f>
        <v/>
      </c>
      <c r="AB74" s="236" t="n"/>
      <c r="AC74" s="238" t="n"/>
      <c r="AD74" s="202">
        <f>AC74*$C74</f>
        <v/>
      </c>
      <c r="AE74" s="236" t="n"/>
      <c r="AF74" s="238" t="n"/>
      <c r="AG74" s="202">
        <f>AF74*$C74</f>
        <v/>
      </c>
      <c r="AH74" s="580">
        <f>SUM(F74+I74+L74+O74+R74+U74+X74+AA74+AD74+AG74)</f>
        <v/>
      </c>
      <c r="AI74" s="69" t="n"/>
    </row>
    <row r="75" ht="14" customHeight="1" s="486">
      <c r="A75" s="209" t="n"/>
      <c r="B75" s="183" t="inlineStr">
        <is>
          <t>Calculations glass only No IGU</t>
        </is>
      </c>
      <c r="C75" s="59" t="n">
        <v>540</v>
      </c>
      <c r="D75" s="214" t="n"/>
      <c r="E75" s="47" t="n"/>
      <c r="F75" s="202">
        <f>E75*$C75</f>
        <v/>
      </c>
      <c r="G75" s="215" t="n"/>
      <c r="H75" s="47" t="n"/>
      <c r="I75" s="202">
        <f>H75*$C75</f>
        <v/>
      </c>
      <c r="J75" s="215" t="n"/>
      <c r="K75" s="47" t="n"/>
      <c r="L75" s="202">
        <f>K75*$C75</f>
        <v/>
      </c>
      <c r="M75" s="215" t="n"/>
      <c r="N75" s="47" t="n"/>
      <c r="O75" s="202">
        <f>N75*$C75</f>
        <v/>
      </c>
      <c r="P75" s="215" t="n"/>
      <c r="Q75" s="47" t="n"/>
      <c r="R75" s="202">
        <f>Q75*$C75</f>
        <v/>
      </c>
      <c r="S75" s="215" t="n"/>
      <c r="T75" s="47" t="n"/>
      <c r="U75" s="202">
        <f>T75*$C75</f>
        <v/>
      </c>
      <c r="V75" s="215" t="n"/>
      <c r="W75" s="47" t="n"/>
      <c r="X75" s="202">
        <f>W75*$C75</f>
        <v/>
      </c>
      <c r="Y75" s="215" t="n"/>
      <c r="Z75" s="47" t="n"/>
      <c r="AA75" s="202">
        <f>Z75*$C75</f>
        <v/>
      </c>
      <c r="AB75" s="236" t="n"/>
      <c r="AC75" s="238" t="n"/>
      <c r="AD75" s="202">
        <f>AC75*$C75</f>
        <v/>
      </c>
      <c r="AE75" s="236" t="n"/>
      <c r="AF75" s="238" t="n"/>
      <c r="AG75" s="202">
        <f>AF75*$C75</f>
        <v/>
      </c>
      <c r="AH75" s="580">
        <f>SUM(F75+I75+L75+O75+R75+U75+X75+AA75+AD75+AG75)</f>
        <v/>
      </c>
      <c r="AI75" s="69" t="n"/>
    </row>
    <row r="76" ht="14" customHeight="1" s="486">
      <c r="A76" s="209" t="n"/>
      <c r="B76" s="183" t="inlineStr">
        <is>
          <t>Calculations glass only with IGU</t>
        </is>
      </c>
      <c r="C76" s="59" t="n">
        <v>720</v>
      </c>
      <c r="D76" s="214" t="n"/>
      <c r="E76" s="47" t="n"/>
      <c r="F76" s="202">
        <f>E76*$C76</f>
        <v/>
      </c>
      <c r="G76" s="215" t="n"/>
      <c r="H76" s="47" t="n"/>
      <c r="I76" s="202">
        <f>H76*$C76</f>
        <v/>
      </c>
      <c r="J76" s="215" t="n"/>
      <c r="K76" s="47" t="n"/>
      <c r="L76" s="202">
        <f>K76*$C76</f>
        <v/>
      </c>
      <c r="M76" s="215" t="n"/>
      <c r="N76" s="47" t="n"/>
      <c r="O76" s="202">
        <f>N76*$C76</f>
        <v/>
      </c>
      <c r="P76" s="215" t="n"/>
      <c r="Q76" s="47" t="n"/>
      <c r="R76" s="202">
        <f>Q76*$C76</f>
        <v/>
      </c>
      <c r="S76" s="215" t="n"/>
      <c r="T76" s="47" t="n"/>
      <c r="U76" s="202">
        <f>T76*$C76</f>
        <v/>
      </c>
      <c r="V76" s="215" t="n"/>
      <c r="W76" s="47" t="n"/>
      <c r="X76" s="202">
        <f>W76*$C76</f>
        <v/>
      </c>
      <c r="Y76" s="215" t="n"/>
      <c r="Z76" s="47" t="n"/>
      <c r="AA76" s="202">
        <f>Z76*$C76</f>
        <v/>
      </c>
      <c r="AB76" s="236" t="n"/>
      <c r="AC76" s="238" t="n"/>
      <c r="AD76" s="202">
        <f>AC76*$C76</f>
        <v/>
      </c>
      <c r="AE76" s="236" t="n"/>
      <c r="AF76" s="238" t="n"/>
      <c r="AG76" s="202">
        <f>AF76*$C76</f>
        <v/>
      </c>
      <c r="AH76" s="580">
        <f>SUM(F76+I76+L76+O76+R76+U76+X76+AA76+AD76+AG76)</f>
        <v/>
      </c>
      <c r="AI76" s="69" t="n"/>
    </row>
    <row r="77" ht="14" customHeight="1" s="486">
      <c r="A77" s="209" t="n"/>
      <c r="B77" s="183" t="inlineStr">
        <is>
          <t>Calculations frame &amp; glass no IGU</t>
        </is>
      </c>
      <c r="C77" s="59" t="n">
        <v>1500</v>
      </c>
      <c r="D77" s="214" t="n"/>
      <c r="E77" s="47" t="n"/>
      <c r="F77" s="202">
        <f>E77*$C77</f>
        <v/>
      </c>
      <c r="G77" s="215" t="n"/>
      <c r="H77" s="47" t="n"/>
      <c r="I77" s="202">
        <f>H77*$C77</f>
        <v/>
      </c>
      <c r="J77" s="215" t="n"/>
      <c r="K77" s="47" t="n"/>
      <c r="L77" s="202">
        <f>K77*$C77</f>
        <v/>
      </c>
      <c r="M77" s="215" t="n"/>
      <c r="N77" s="47" t="n"/>
      <c r="O77" s="202">
        <f>N77*$C77</f>
        <v/>
      </c>
      <c r="P77" s="215" t="n"/>
      <c r="Q77" s="47" t="n"/>
      <c r="R77" s="202">
        <f>Q77*$C77</f>
        <v/>
      </c>
      <c r="S77" s="215" t="n"/>
      <c r="T77" s="47" t="n"/>
      <c r="U77" s="202">
        <f>T77*$C77</f>
        <v/>
      </c>
      <c r="V77" s="215" t="n"/>
      <c r="W77" s="47" t="n"/>
      <c r="X77" s="202">
        <f>W77*$C77</f>
        <v/>
      </c>
      <c r="Y77" s="215" t="n"/>
      <c r="Z77" s="47" t="n"/>
      <c r="AA77" s="202">
        <f>Z77*$C77</f>
        <v/>
      </c>
      <c r="AB77" s="236" t="n"/>
      <c r="AC77" s="238" t="n"/>
      <c r="AD77" s="202">
        <f>AC77*$C77</f>
        <v/>
      </c>
      <c r="AE77" s="236" t="n"/>
      <c r="AF77" s="238" t="n"/>
      <c r="AG77" s="202">
        <f>AF77*$C77</f>
        <v/>
      </c>
      <c r="AH77" s="580">
        <f>SUM(F77+I77+L77+O77+R77+U77+X77+AA77+AD77+AG77)</f>
        <v/>
      </c>
      <c r="AI77" s="69" t="n"/>
    </row>
    <row r="78" ht="14" customHeight="1" s="486">
      <c r="A78" s="209" t="n"/>
      <c r="B78" s="183" t="inlineStr">
        <is>
          <t>Calculations frame &amp; glass with IGU</t>
        </is>
      </c>
      <c r="C78" s="59" t="n">
        <v>1680</v>
      </c>
      <c r="D78" s="214" t="n"/>
      <c r="E78" s="47" t="n"/>
      <c r="F78" s="202">
        <f>E78*$C78</f>
        <v/>
      </c>
      <c r="G78" s="215" t="n"/>
      <c r="H78" s="47" t="n"/>
      <c r="I78" s="202">
        <f>H78*$C78</f>
        <v/>
      </c>
      <c r="J78" s="215" t="n"/>
      <c r="K78" s="47" t="n"/>
      <c r="L78" s="202">
        <f>K78*$C78</f>
        <v/>
      </c>
      <c r="M78" s="215" t="n"/>
      <c r="N78" s="47" t="n"/>
      <c r="O78" s="202">
        <f>N78*$C78</f>
        <v/>
      </c>
      <c r="P78" s="215" t="n"/>
      <c r="Q78" s="47" t="n"/>
      <c r="R78" s="202">
        <f>Q78*$C78</f>
        <v/>
      </c>
      <c r="S78" s="215" t="n"/>
      <c r="T78" s="47" t="n"/>
      <c r="U78" s="202">
        <f>T78*$C78</f>
        <v/>
      </c>
      <c r="V78" s="215" t="n"/>
      <c r="W78" s="47" t="n"/>
      <c r="X78" s="202">
        <f>W78*$C78</f>
        <v/>
      </c>
      <c r="Y78" s="215" t="n"/>
      <c r="Z78" s="47" t="n"/>
      <c r="AA78" s="202">
        <f>Z78*$C78</f>
        <v/>
      </c>
      <c r="AB78" s="236" t="n"/>
      <c r="AC78" s="238" t="n"/>
      <c r="AD78" s="202">
        <f>AC78*$C78</f>
        <v/>
      </c>
      <c r="AE78" s="236" t="n"/>
      <c r="AF78" s="238" t="n"/>
      <c r="AG78" s="202">
        <f>AF78*$C78</f>
        <v/>
      </c>
      <c r="AH78" s="580">
        <f>SUM(F78+I78+L78+O78+R78+U78+X78+AA78+AD78+AG78)</f>
        <v/>
      </c>
      <c r="AI78" s="69" t="n"/>
    </row>
    <row r="79" ht="14" customHeight="1" s="486">
      <c r="B79" s="5" t="inlineStr">
        <is>
          <t>Custom Upcharge</t>
        </is>
      </c>
      <c r="C79" s="155" t="n">
        <v>0.55</v>
      </c>
      <c r="D79" s="214" t="n"/>
      <c r="E79" s="47" t="n"/>
      <c r="F79" s="10">
        <f>E79*$C79</f>
        <v/>
      </c>
      <c r="G79" s="215" t="n"/>
      <c r="H79" s="47" t="n"/>
      <c r="I79" s="10">
        <f>H79*$C79</f>
        <v/>
      </c>
      <c r="J79" s="215" t="n"/>
      <c r="K79" s="47" t="n"/>
      <c r="L79" s="10">
        <f>K79*$C79</f>
        <v/>
      </c>
      <c r="M79" s="215" t="n"/>
      <c r="N79" s="47" t="n"/>
      <c r="O79" s="10">
        <f>N79*$C79</f>
        <v/>
      </c>
      <c r="P79" s="216" t="n"/>
      <c r="Q79" s="68" t="n"/>
      <c r="R79" s="10">
        <f>Q79*$C79</f>
        <v/>
      </c>
      <c r="S79" s="216" t="n"/>
      <c r="T79" s="68" t="n"/>
      <c r="U79" s="10">
        <f>T79*$C79</f>
        <v/>
      </c>
      <c r="V79" s="216" t="n"/>
      <c r="W79" s="68" t="n"/>
      <c r="X79" s="10">
        <f>W79*$C79</f>
        <v/>
      </c>
      <c r="Y79" s="216" t="n"/>
      <c r="Z79" s="68" t="n"/>
      <c r="AA79" s="10">
        <f>Z79*$C79</f>
        <v/>
      </c>
      <c r="AB79" s="236" t="n"/>
      <c r="AC79" s="238" t="n"/>
      <c r="AD79" s="10">
        <f>AC79*$C79</f>
        <v/>
      </c>
      <c r="AE79" s="236" t="n"/>
      <c r="AF79" s="238" t="n"/>
      <c r="AG79" s="10">
        <f>AF79*$C79</f>
        <v/>
      </c>
      <c r="AH79" s="580">
        <f>SUM(F79+I79+L79+O79+R79+U79+X79+AA79+AD79+AG79)</f>
        <v/>
      </c>
      <c r="AI79" s="69" t="n"/>
    </row>
    <row r="80" ht="14" customHeight="1" s="486">
      <c r="A80" s="209" t="n"/>
      <c r="B80" s="5" t="inlineStr">
        <is>
          <t xml:space="preserve">Shop Drawings </t>
        </is>
      </c>
      <c r="C80" s="174" t="n">
        <v>75</v>
      </c>
      <c r="D80" s="60" t="n"/>
      <c r="E80" s="47" t="n"/>
      <c r="F80" s="202">
        <f>E80*$C$80</f>
        <v/>
      </c>
      <c r="G80" s="61" t="n"/>
      <c r="H80" s="47" t="n"/>
      <c r="I80" s="202">
        <f>H80*$C$80</f>
        <v/>
      </c>
      <c r="J80" s="61" t="n"/>
      <c r="K80" s="47" t="n"/>
      <c r="L80" s="202">
        <f>K80*$C$80</f>
        <v/>
      </c>
      <c r="M80" s="61" t="n"/>
      <c r="N80" s="47" t="n"/>
      <c r="O80" s="202">
        <f>N80*$C$80</f>
        <v/>
      </c>
      <c r="P80" s="61" t="n"/>
      <c r="Q80" s="47" t="n"/>
      <c r="R80" s="202">
        <f>Q80*$C$80</f>
        <v/>
      </c>
      <c r="S80" s="61" t="n"/>
      <c r="T80" s="47" t="n"/>
      <c r="U80" s="202">
        <f>T80*$C$80</f>
        <v/>
      </c>
      <c r="V80" s="61" t="n"/>
      <c r="W80" s="47" t="n"/>
      <c r="X80" s="202">
        <f>W80*$C$80</f>
        <v/>
      </c>
      <c r="Y80" s="61" t="n"/>
      <c r="Z80" s="47" t="n"/>
      <c r="AA80" s="202">
        <f>Z80*$C$80</f>
        <v/>
      </c>
      <c r="AB80" s="237" t="n"/>
      <c r="AC80" s="238" t="n"/>
      <c r="AD80" s="202">
        <f>AC80*$C$80</f>
        <v/>
      </c>
      <c r="AE80" s="237" t="n"/>
      <c r="AF80" s="238" t="n"/>
      <c r="AG80" s="202">
        <f>AF80*$C$80</f>
        <v/>
      </c>
      <c r="AH80" s="580">
        <f>SUM(F80+I80+L80+O80+R80+U80+X80+AA80+AD80+AG80)</f>
        <v/>
      </c>
      <c r="AI80" s="13" t="n"/>
    </row>
    <row r="81" ht="14" customHeight="1" s="486" thickBot="1">
      <c r="A81" s="209" t="n"/>
      <c r="B81" s="6" t="n"/>
      <c r="C81" s="10" t="n"/>
      <c r="D81" s="466" t="n"/>
      <c r="E81" s="480" t="inlineStr">
        <is>
          <t>Qty Pricing Below</t>
        </is>
      </c>
      <c r="F81" s="10" t="n"/>
      <c r="G81" s="10" t="n"/>
      <c r="H81" s="480" t="inlineStr">
        <is>
          <t>Qty Pricing Below</t>
        </is>
      </c>
      <c r="I81" s="10" t="n"/>
      <c r="J81" s="10" t="n"/>
      <c r="K81" s="480" t="inlineStr">
        <is>
          <t>Qty Pricing Below</t>
        </is>
      </c>
      <c r="L81" s="10" t="n"/>
      <c r="M81" s="10" t="n"/>
      <c r="N81" s="480" t="inlineStr">
        <is>
          <t>Qty Pricing Below</t>
        </is>
      </c>
      <c r="O81" s="10" t="n"/>
      <c r="P81" s="56" t="n"/>
      <c r="Q81" s="480" t="inlineStr">
        <is>
          <t>Qty Pricing Below</t>
        </is>
      </c>
      <c r="R81" s="10" t="n"/>
      <c r="S81" s="10" t="n"/>
      <c r="T81" s="480" t="inlineStr">
        <is>
          <t>Qty Pricing Below</t>
        </is>
      </c>
      <c r="U81" s="10" t="n"/>
      <c r="V81" s="10" t="n"/>
      <c r="W81" s="480" t="inlineStr">
        <is>
          <t>Qty Pricing Below</t>
        </is>
      </c>
      <c r="X81" s="10" t="n"/>
      <c r="Y81" s="10" t="n"/>
      <c r="Z81" s="480" t="inlineStr">
        <is>
          <t>Qty Pricing Below</t>
        </is>
      </c>
      <c r="AA81" s="10" t="n"/>
      <c r="AB81" s="237" t="n"/>
      <c r="AC81" s="480" t="inlineStr">
        <is>
          <t>Qty Pricing Below</t>
        </is>
      </c>
      <c r="AD81" s="237" t="n"/>
      <c r="AE81" s="237" t="n"/>
      <c r="AF81" s="480" t="inlineStr">
        <is>
          <t>Qty Pricing Below</t>
        </is>
      </c>
      <c r="AG81" s="237" t="n"/>
      <c r="AH81" s="580" t="n"/>
      <c r="AI81" s="69" t="n"/>
    </row>
    <row r="82" ht="14" customHeight="1" s="486">
      <c r="A82" s="209" t="n"/>
      <c r="B82" s="17" t="inlineStr">
        <is>
          <t>Sub Total</t>
        </is>
      </c>
      <c r="C82" s="585" t="n"/>
      <c r="D82" s="18" t="n"/>
      <c r="E82" s="51">
        <f>IF($J$113&gt;1,F82*$J$113,"")</f>
        <v/>
      </c>
      <c r="F82" s="49">
        <f>SUM(F9:F71)</f>
        <v/>
      </c>
      <c r="G82" s="19" t="n"/>
      <c r="H82" s="51">
        <f>IF($J$114&gt;1,I82*$J$114,"")</f>
        <v/>
      </c>
      <c r="I82" s="49">
        <f>SUM(I9:I71)</f>
        <v/>
      </c>
      <c r="J82" s="19" t="n"/>
      <c r="K82" s="51">
        <f>IF($J$115&gt;1,L82*$J$115,"")</f>
        <v/>
      </c>
      <c r="L82" s="49">
        <f>SUM(L9:L71)</f>
        <v/>
      </c>
      <c r="M82" s="19" t="n"/>
      <c r="N82" s="51">
        <f>IF($J$116&gt;1,O82*$J$116,"")</f>
        <v/>
      </c>
      <c r="O82" s="49">
        <f>SUM(O9:O71)</f>
        <v/>
      </c>
      <c r="P82" s="19" t="n"/>
      <c r="Q82" s="51">
        <f>IF($J$117&gt;1,R82*$J$117,"")</f>
        <v/>
      </c>
      <c r="R82" s="49">
        <f>SUM(R9:R71)</f>
        <v/>
      </c>
      <c r="S82" s="19" t="n"/>
      <c r="T82" s="51">
        <f>IF($J$118&gt;1,U82*$J$118,"")</f>
        <v/>
      </c>
      <c r="U82" s="49">
        <f>SUM(U9:U71)</f>
        <v/>
      </c>
      <c r="V82" s="19" t="n"/>
      <c r="W82" s="51">
        <f>IF($J$119&gt;1,X82*$J$119,"")</f>
        <v/>
      </c>
      <c r="X82" s="49">
        <f>SUM(X9:X71)</f>
        <v/>
      </c>
      <c r="Y82" s="19" t="n"/>
      <c r="Z82" s="51">
        <f>IF($J$120&gt;1,AA82*$J$120,"")</f>
        <v/>
      </c>
      <c r="AA82" s="49">
        <f>SUM(AA9:AA71)</f>
        <v/>
      </c>
      <c r="AB82" s="240" t="n"/>
      <c r="AC82" s="51">
        <f>IF($J$121&gt;1,AD82*$J$121,"")</f>
        <v/>
      </c>
      <c r="AD82" s="49">
        <f>SUM(AD9:AD71)</f>
        <v/>
      </c>
      <c r="AE82" s="240" t="n"/>
      <c r="AF82" s="51">
        <f>IF($J$122&gt;1,AG82*$J$122,"")</f>
        <v/>
      </c>
      <c r="AG82" s="49">
        <f>SUM(AG9:AG71)</f>
        <v/>
      </c>
      <c r="AH82" s="580">
        <f>SUM(F82+I82+L82+O82+R82+U82+X82+AA82+AD82+AG82)</f>
        <v/>
      </c>
      <c r="AI82" s="69" t="n"/>
    </row>
    <row r="83" ht="14" customHeight="1" s="486">
      <c r="A83" s="209" t="n"/>
      <c r="B83" s="5" t="inlineStr">
        <is>
          <t>Shipping</t>
        </is>
      </c>
      <c r="C83" s="579" t="n">
        <v>350</v>
      </c>
      <c r="D83" s="466" t="n"/>
      <c r="E83" s="466" t="n"/>
      <c r="F83" s="13">
        <f>$C$83*E83</f>
        <v/>
      </c>
      <c r="G83" s="466" t="n"/>
      <c r="H83" s="466" t="n"/>
      <c r="I83" s="13">
        <f>$C$83*H83</f>
        <v/>
      </c>
      <c r="J83" s="466" t="n"/>
      <c r="K83" s="466" t="n"/>
      <c r="L83" s="13">
        <f>$C$83*K83</f>
        <v/>
      </c>
      <c r="M83" s="466" t="n"/>
      <c r="N83" s="466" t="n"/>
      <c r="O83" s="13">
        <f>$C$83*N83</f>
        <v/>
      </c>
      <c r="P83" s="466" t="n"/>
      <c r="Q83" s="466" t="n"/>
      <c r="R83" s="13">
        <f>$C$83*Q83</f>
        <v/>
      </c>
      <c r="S83" s="466" t="n"/>
      <c r="T83" s="466" t="n"/>
      <c r="U83" s="13">
        <f>$C$83*T83</f>
        <v/>
      </c>
      <c r="V83" s="466" t="n"/>
      <c r="W83" s="466" t="n"/>
      <c r="X83" s="13">
        <f>$C$83*W83</f>
        <v/>
      </c>
      <c r="Y83" s="466" t="n"/>
      <c r="Z83" s="51" t="n"/>
      <c r="AA83" s="13">
        <f>$C$83*Z83</f>
        <v/>
      </c>
      <c r="AB83" s="241" t="n"/>
      <c r="AC83" s="241" t="n"/>
      <c r="AD83" s="13">
        <f>$C$83*AC83</f>
        <v/>
      </c>
      <c r="AE83" s="241" t="n"/>
      <c r="AF83" s="241" t="n"/>
      <c r="AG83" s="13">
        <f>$C$83*AF83</f>
        <v/>
      </c>
      <c r="AH83" s="580">
        <f>SUM(F83+I83+L83+O83+R83+U83+X83+AA83+AD83+AG83)</f>
        <v/>
      </c>
      <c r="AI83" s="69" t="n"/>
    </row>
    <row r="84" ht="14" customHeight="1" s="486">
      <c r="A84" s="209" t="n"/>
      <c r="B84" s="5" t="inlineStr">
        <is>
          <t>Overhead</t>
        </is>
      </c>
      <c r="C84" s="586" t="n">
        <v>0.1</v>
      </c>
      <c r="D84" s="18" t="n"/>
      <c r="E84" s="13">
        <f>IF($J$113&gt;1,F84*$J$113,"")</f>
        <v/>
      </c>
      <c r="F84" s="587">
        <f>SUM(F82:F83)*$C$84</f>
        <v/>
      </c>
      <c r="G84" s="18" t="n"/>
      <c r="H84" s="13">
        <f>IF($J$114&gt;1,I84*$J$114,"")</f>
        <v/>
      </c>
      <c r="I84" s="587">
        <f>SUM(I82:I83)*$C$84</f>
        <v/>
      </c>
      <c r="J84" s="18" t="n"/>
      <c r="K84" s="13">
        <f>IF($J$115&gt;1,L84*$J$115,"")</f>
        <v/>
      </c>
      <c r="L84" s="587">
        <f>SUM(L82:L83)*$C$84</f>
        <v/>
      </c>
      <c r="M84" s="18" t="n"/>
      <c r="N84" s="13">
        <f>IF($J$116&gt;1,O84*$J$116,"")</f>
        <v/>
      </c>
      <c r="O84" s="587">
        <f>SUM(O82:O83)*$C$84</f>
        <v/>
      </c>
      <c r="P84" s="18" t="n"/>
      <c r="Q84" s="51">
        <f>IF($J$117&gt;1,R84*$J$117,"")</f>
        <v/>
      </c>
      <c r="R84" s="587">
        <f>SUM(R82:R83)*$C$84</f>
        <v/>
      </c>
      <c r="S84" s="18" t="n"/>
      <c r="T84" s="51">
        <f>IF($J$118&gt;1,U84*$J$118,"")</f>
        <v/>
      </c>
      <c r="U84" s="587">
        <f>SUM(U82:U83)*$C$84</f>
        <v/>
      </c>
      <c r="V84" s="18" t="n"/>
      <c r="W84" s="51">
        <f>IF($J$119&gt;1,X84*$J$119,"")</f>
        <v/>
      </c>
      <c r="X84" s="587">
        <f>SUM(X82:X83)*$C$84</f>
        <v/>
      </c>
      <c r="Y84" s="18" t="n"/>
      <c r="Z84" s="51">
        <f>IF($J$120&gt;1,AA84*$J$120,"")</f>
        <v/>
      </c>
      <c r="AA84" s="587">
        <f>SUM(AA82:AA83)*$C$84</f>
        <v/>
      </c>
      <c r="AB84" s="588" t="n"/>
      <c r="AC84" s="51">
        <f>IF($J$121&gt;1,AD84*$J$121,"")</f>
        <v/>
      </c>
      <c r="AD84" s="587">
        <f>SUM(AD82:AD83)*$C$84</f>
        <v/>
      </c>
      <c r="AE84" s="588" t="n"/>
      <c r="AF84" s="51">
        <f>IF($J$122&gt;1,AG84*$J$122,"")</f>
        <v/>
      </c>
      <c r="AG84" s="587">
        <f>SUM(AG82:AG83)*$C$84</f>
        <v/>
      </c>
      <c r="AH84" s="580">
        <f>SUM(F84+I84+L84+O84+R84+U84+X84+AA84+AD84+AG84)</f>
        <v/>
      </c>
      <c r="AI84" s="69" t="n"/>
    </row>
    <row r="85" ht="14" customHeight="1" s="486">
      <c r="A85" s="209" t="n"/>
      <c r="B85" s="5" t="inlineStr">
        <is>
          <t>Profit</t>
        </is>
      </c>
      <c r="C85" s="589" t="n">
        <v>0.5</v>
      </c>
      <c r="D85" s="18" t="n"/>
      <c r="E85" s="13">
        <f>IF($J$113&gt;1,F85*$J$113,"")</f>
        <v/>
      </c>
      <c r="F85" s="587">
        <f>SUM(F82:F84)*$C$85</f>
        <v/>
      </c>
      <c r="G85" s="18" t="n"/>
      <c r="H85" s="13">
        <f>IF($J$114&gt;1,I85*$J$114,"")</f>
        <v/>
      </c>
      <c r="I85" s="587">
        <f>SUM(I82:I84)*$C$85</f>
        <v/>
      </c>
      <c r="J85" s="18" t="n"/>
      <c r="K85" s="13">
        <f>IF($J$115&gt;1,L85*$J$115,"")</f>
        <v/>
      </c>
      <c r="L85" s="587">
        <f>SUM(L82:L84)*$C$85</f>
        <v/>
      </c>
      <c r="M85" s="18" t="n"/>
      <c r="N85" s="13">
        <f>IF($J$116&gt;1,O85*$J$116,"")</f>
        <v/>
      </c>
      <c r="O85" s="587">
        <f>SUM(O82:O84)*$C$85</f>
        <v/>
      </c>
      <c r="P85" s="18" t="n"/>
      <c r="Q85" s="51">
        <f>IF($J$117&gt;1,R85*$J$117,"")</f>
        <v/>
      </c>
      <c r="R85" s="587">
        <f>SUM(R82:R84)*$C$85</f>
        <v/>
      </c>
      <c r="S85" s="18" t="n"/>
      <c r="T85" s="51">
        <f>IF($J$118&gt;1,U85*$J$118,"")</f>
        <v/>
      </c>
      <c r="U85" s="587">
        <f>SUM(U82:U84)*$C$85</f>
        <v/>
      </c>
      <c r="V85" s="18" t="n"/>
      <c r="W85" s="51">
        <f>IF($J$119&gt;1,X85*$J$119,"")</f>
        <v/>
      </c>
      <c r="X85" s="587">
        <f>SUM(X82:X84)*$C$85</f>
        <v/>
      </c>
      <c r="Y85" s="18" t="n"/>
      <c r="Z85" s="51">
        <f>IF($J$120&gt;1,AA85*$J$120,"")</f>
        <v/>
      </c>
      <c r="AA85" s="587">
        <f>SUM(AA82:AA84)*$C$85</f>
        <v/>
      </c>
      <c r="AB85" s="588" t="n"/>
      <c r="AC85" s="51">
        <f>IF($J$121&gt;1,AD85*$J$121,"")</f>
        <v/>
      </c>
      <c r="AD85" s="587">
        <f>SUM(AD82:AD84)*$C$85</f>
        <v/>
      </c>
      <c r="AE85" s="588" t="n"/>
      <c r="AF85" s="51">
        <f>IF($J$122&gt;1,AG85*$J$122,"")</f>
        <v/>
      </c>
      <c r="AG85" s="587">
        <f>SUM(AG82:AG84)*$C$85</f>
        <v/>
      </c>
      <c r="AH85" s="580">
        <f>SUM(F85+I85+L85+O85+R85+U85+X85+AA85+AD85+AG85)</f>
        <v/>
      </c>
      <c r="AI85" s="69" t="n"/>
    </row>
    <row r="86" ht="14" customHeight="1" s="486">
      <c r="A86" s="209" t="n"/>
      <c r="B86" s="5" t="inlineStr">
        <is>
          <t>Insurance</t>
        </is>
      </c>
      <c r="C86" s="586" t="n">
        <v>0.06</v>
      </c>
      <c r="D86" s="18" t="n"/>
      <c r="E86" s="13">
        <f>IF($J$113&gt;1,F86*$J$113,"")</f>
        <v/>
      </c>
      <c r="F86" s="587">
        <f>SUM(F82:F85)*$C$86</f>
        <v/>
      </c>
      <c r="G86" s="18" t="n"/>
      <c r="H86" s="13">
        <f>IF($J$114&gt;1,I86*$J$114,"")</f>
        <v/>
      </c>
      <c r="I86" s="587">
        <f>SUM(I82:I85)*$C$86</f>
        <v/>
      </c>
      <c r="J86" s="18" t="n"/>
      <c r="K86" s="13">
        <f>IF($J$115&gt;1,L86*$J$115,"")</f>
        <v/>
      </c>
      <c r="L86" s="587">
        <f>SUM(L82:L85)*$C$86</f>
        <v/>
      </c>
      <c r="M86" s="18" t="n"/>
      <c r="N86" s="13">
        <f>IF($J$116&gt;1,O86*$J$116,"")</f>
        <v/>
      </c>
      <c r="O86" s="587">
        <f>SUM(O82:O85)*$C$86</f>
        <v/>
      </c>
      <c r="P86" s="18" t="n"/>
      <c r="Q86" s="51">
        <f>IF($J$117&gt;1,R86*$J$117,"")</f>
        <v/>
      </c>
      <c r="R86" s="587">
        <f>SUM(R82:R85)*$C$86</f>
        <v/>
      </c>
      <c r="S86" s="18" t="n"/>
      <c r="T86" s="51">
        <f>IF($J$118&gt;1,U86*$J$118,"")</f>
        <v/>
      </c>
      <c r="U86" s="587">
        <f>SUM(U82:U85)*$C$86</f>
        <v/>
      </c>
      <c r="V86" s="18" t="n"/>
      <c r="W86" s="51">
        <f>IF($J$119&gt;1,X86*$J$119,"")</f>
        <v/>
      </c>
      <c r="X86" s="587">
        <f>SUM(X82:X85)*$C$86</f>
        <v/>
      </c>
      <c r="Y86" s="18" t="n"/>
      <c r="Z86" s="51">
        <f>IF($J$120&gt;1,AA86*$J$120,"")</f>
        <v/>
      </c>
      <c r="AA86" s="587">
        <f>SUM(AA82:AA85)*$C$86</f>
        <v/>
      </c>
      <c r="AB86" s="588" t="n"/>
      <c r="AC86" s="51">
        <f>IF($J$121&gt;1,AD86*$J$121,"")</f>
        <v/>
      </c>
      <c r="AD86" s="587">
        <f>SUM(AD82:AD85)*$C$86</f>
        <v/>
      </c>
      <c r="AE86" s="588" t="n"/>
      <c r="AF86" s="51">
        <f>IF($J$122&gt;1,AG86*$J$122,"")</f>
        <v/>
      </c>
      <c r="AG86" s="587">
        <f>SUM(AG82:AG85)*$C$86</f>
        <v/>
      </c>
      <c r="AH86" s="580">
        <f>SUM(F86+I86+L86+O86+R86+U86+X86+AA86+AD86+AG86)</f>
        <v/>
      </c>
      <c r="AI86" s="69" t="n"/>
    </row>
    <row r="87" ht="13" customHeight="1" s="486">
      <c r="A87" s="209" t="n"/>
      <c r="B87" s="197" t="inlineStr">
        <is>
          <t>Sales Rep Commission</t>
        </is>
      </c>
      <c r="C87" s="586" t="n">
        <v>0.05</v>
      </c>
      <c r="D87" s="8" t="n"/>
      <c r="E87" s="13">
        <f>IF($J$113&gt;1,F87*$J$113,"")</f>
        <v/>
      </c>
      <c r="F87" s="587">
        <f>IF(D87="Y",SUM(F82:F86)*$C$87,"0")</f>
        <v/>
      </c>
      <c r="G87" s="8" t="n"/>
      <c r="H87" s="13">
        <f>IF($J$114&gt;1,I87*$J$114,"")</f>
        <v/>
      </c>
      <c r="I87" s="587">
        <f>IF(G87="Y",SUM(I82:I86)*$C$87,"0")</f>
        <v/>
      </c>
      <c r="J87" s="8" t="n"/>
      <c r="K87" s="13">
        <f>IF($J$115&gt;1,L87*$J$115,"")</f>
        <v/>
      </c>
      <c r="L87" s="587">
        <f>IF(J87="Y",SUM(L82:L86)*$C$87,"0")</f>
        <v/>
      </c>
      <c r="M87" s="8" t="n"/>
      <c r="N87" s="13">
        <f>IF($J$116&gt;1,O87*$J$116,"")</f>
        <v/>
      </c>
      <c r="O87" s="587">
        <f>IF(M87="Y",SUM(O82:O86)*$C$87,"0")</f>
        <v/>
      </c>
      <c r="P87" s="8" t="n"/>
      <c r="Q87" s="13">
        <f>IF($J$117&gt;1,R87*$J$117,"")</f>
        <v/>
      </c>
      <c r="R87" s="587">
        <f>IF(P87="Y",SUM(R82:R86)*$C$87,"0")</f>
        <v/>
      </c>
      <c r="S87" s="8" t="n"/>
      <c r="T87" s="51">
        <f>IF($J$118&gt;1,U87*$J$118,"")</f>
        <v/>
      </c>
      <c r="U87" s="587">
        <f>IF(S87="Y",SUM(U82:U86)*$C$87,"0")</f>
        <v/>
      </c>
      <c r="V87" s="8" t="n"/>
      <c r="W87" s="51">
        <f>IF($J$119&gt;1,X87*$J$119,"")</f>
        <v/>
      </c>
      <c r="X87" s="587">
        <f>IF(V87="Y",SUM(X82:X86)*$C$87,"0")</f>
        <v/>
      </c>
      <c r="Y87" s="8" t="n"/>
      <c r="Z87" s="13">
        <f>IF($J$120&gt;1,AA87*$J$120,"")</f>
        <v/>
      </c>
      <c r="AA87" s="587">
        <f>IF(Y87="Y",SUM(AA82:AA86)*$C$87,"0")</f>
        <v/>
      </c>
      <c r="AB87" s="590" t="n"/>
      <c r="AC87" s="13">
        <f>IF($J$121&gt;1,AD87*$J$121,"")</f>
        <v/>
      </c>
      <c r="AD87" s="587">
        <f>IF(AB87="Y",SUM(AD82:AD86)*$C$87,"0")</f>
        <v/>
      </c>
      <c r="AE87" s="590" t="n"/>
      <c r="AF87" s="13">
        <f>IF($J$122&gt;1,AG87*$J$122,"")</f>
        <v/>
      </c>
      <c r="AG87" s="587">
        <f>IF(AE87="Y",SUM(AG82:AG86)*$C$87,"0")</f>
        <v/>
      </c>
      <c r="AH87" s="580">
        <f>SUM(F87+I87+L87+O87+R87+U87+X87+AA87+AD87+AG87)</f>
        <v/>
      </c>
      <c r="AI87" s="203" t="n"/>
    </row>
    <row r="88" ht="13" customHeight="1" s="486">
      <c r="A88" s="209" t="n"/>
      <c r="B88" s="197" t="inlineStr">
        <is>
          <t>Duty</t>
        </is>
      </c>
      <c r="C88" s="586" t="n">
        <v>0.055</v>
      </c>
      <c r="D88" s="207" t="n"/>
      <c r="E88" s="13">
        <f>IF($J$113&gt;1,F88*$J$113,"")</f>
        <v/>
      </c>
      <c r="F88" s="587">
        <f>IF(D88="Y",SUM(F9:F15)*$C$88,"0")</f>
        <v/>
      </c>
      <c r="G88" s="18" t="n"/>
      <c r="H88" s="13">
        <f>IF($J$114&gt;1,I88*$J$114,"")</f>
        <v/>
      </c>
      <c r="I88" s="587">
        <f>IF(D88="Y",SUM(I9:I15)*$C$88,"0")</f>
        <v/>
      </c>
      <c r="J88" s="18" t="n"/>
      <c r="K88" s="13">
        <f>IF($J$115&gt;1,L88*$J$115,"")</f>
        <v/>
      </c>
      <c r="L88" s="587">
        <f>IF(D88="Y",SUM(L9:L15)*$C$88,"0")</f>
        <v/>
      </c>
      <c r="M88" s="18" t="n"/>
      <c r="N88" s="13">
        <f>IF($J$116&gt;1,O88*$J$116,"")</f>
        <v/>
      </c>
      <c r="O88" s="587">
        <f>IF(D88="Y",SUM(O9:O15)*$C$88,"0")</f>
        <v/>
      </c>
      <c r="P88" s="18" t="n"/>
      <c r="Q88" s="13">
        <f>IF($J$117&gt;1,R88*$J$117,"")</f>
        <v/>
      </c>
      <c r="R88" s="587">
        <f>IF(D88="Y",SUM(R9:R15)*$C$88,"0")</f>
        <v/>
      </c>
      <c r="S88" s="18" t="n"/>
      <c r="T88" s="51">
        <f>IF($J$118&gt;1,U88*$J$118,"")</f>
        <v/>
      </c>
      <c r="U88" s="587">
        <f>IF(D88="Y",SUM(U9:U15)*$C$88,"0")</f>
        <v/>
      </c>
      <c r="V88" s="18" t="n"/>
      <c r="W88" s="51">
        <f>IF($J$119&gt;1,X88*$J$119,"")</f>
        <v/>
      </c>
      <c r="X88" s="587">
        <f>IF(D88="Y",SUM(X9:X15)*$C$88,"0")</f>
        <v/>
      </c>
      <c r="Y88" s="18" t="n"/>
      <c r="Z88" s="13">
        <f>IF($J$120&gt;1,AA88*$J$120,"")</f>
        <v/>
      </c>
      <c r="AA88" s="587">
        <f>IF(D88="Y",SUM(AA9:AA15)*$C$88,"0")</f>
        <v/>
      </c>
      <c r="AB88" s="588" t="n"/>
      <c r="AC88" s="13">
        <f>IF($J$121&gt;1,AD88*$J$121,"")</f>
        <v/>
      </c>
      <c r="AD88" s="587">
        <f>IF(D88="Y",SUM(AD9:AD15)*$C$88,"0")</f>
        <v/>
      </c>
      <c r="AE88" s="588" t="n"/>
      <c r="AF88" s="13">
        <f>IF($J$122&gt;1,AG88*$J$122,"")</f>
        <v/>
      </c>
      <c r="AG88" s="587">
        <f>IF(D88="Y",SUM(AG9:AG15)*$C$88,"0")</f>
        <v/>
      </c>
      <c r="AH88" s="580">
        <f>SUM(F88+I88+L88+O88+R88+U88+X88+AA88+AD88+AG88)</f>
        <v/>
      </c>
      <c r="AI88" s="203" t="n"/>
    </row>
    <row r="89" ht="14" customHeight="1" s="486">
      <c r="B89" s="197" t="inlineStr">
        <is>
          <t>Transgroup Fees</t>
        </is>
      </c>
      <c r="C89" s="591">
        <f>SUM(95+55+45)</f>
        <v/>
      </c>
      <c r="D89" s="8" t="n"/>
      <c r="E89" s="13" t="n"/>
      <c r="F89" s="587">
        <f>IF(D89="Y",$C$89/J113,"0")</f>
        <v/>
      </c>
      <c r="G89" s="18" t="n"/>
      <c r="H89" s="13" t="n"/>
      <c r="I89" s="587">
        <f>IF(D89="Y",$C$89/J114,"0")</f>
        <v/>
      </c>
      <c r="J89" s="18" t="n"/>
      <c r="K89" s="13" t="n"/>
      <c r="L89" s="587">
        <f>IF(D89="Y",$C$89/J115,"0")</f>
        <v/>
      </c>
      <c r="M89" s="18" t="n"/>
      <c r="N89" s="13" t="n"/>
      <c r="O89" s="587">
        <f>IF(D89="Y",$C$89/J116,"0")</f>
        <v/>
      </c>
      <c r="P89" s="18" t="n"/>
      <c r="Q89" s="13" t="n"/>
      <c r="R89" s="587">
        <f>IF(D89="Y",$C$89/J117,"0")</f>
        <v/>
      </c>
      <c r="S89" s="18" t="n"/>
      <c r="T89" s="13" t="n"/>
      <c r="U89" s="587">
        <f>IF(D89="Y",$C$89/J118,"0")</f>
        <v/>
      </c>
      <c r="V89" s="18" t="n"/>
      <c r="W89" s="13" t="n"/>
      <c r="X89" s="587">
        <f>IF(D89="Y",$C$89/J119,"0")</f>
        <v/>
      </c>
      <c r="Y89" s="18" t="n"/>
      <c r="Z89" s="13" t="n"/>
      <c r="AA89" s="587">
        <f>IF(D89="Y",$C$89/J120,"0")</f>
        <v/>
      </c>
      <c r="AB89" s="588" t="n"/>
      <c r="AC89" s="13" t="n"/>
      <c r="AD89" s="587">
        <f>IF(D89="Y",$C$89/J121,"0")</f>
        <v/>
      </c>
      <c r="AE89" s="588" t="n"/>
      <c r="AF89" s="13" t="n"/>
      <c r="AG89" s="587">
        <f>IF(D89="Y",$C$89/J122,"0")</f>
        <v/>
      </c>
      <c r="AH89" s="580">
        <f>SUM(F89+I89+L89+O89+R89+U89+X89+AA89+AD89+AG89)</f>
        <v/>
      </c>
      <c r="AI89" s="203" t="n"/>
    </row>
    <row r="90" ht="14" customHeight="1" s="486">
      <c r="A90" s="209" t="n"/>
      <c r="B90" s="225" t="inlineStr">
        <is>
          <t>TOTAL</t>
        </is>
      </c>
      <c r="C90" s="577" t="n"/>
      <c r="D90" s="18" t="n"/>
      <c r="E90" s="13">
        <f>IF($J$113&gt;1,F90*$J$113,"")</f>
        <v/>
      </c>
      <c r="F90" s="592">
        <f>SUM(F82:F89)</f>
        <v/>
      </c>
      <c r="G90" s="18" t="n"/>
      <c r="H90" s="13">
        <f>IF($J$114&gt;1,I90*$J$114,"")</f>
        <v/>
      </c>
      <c r="I90" s="592">
        <f>SUM(I82:I89)</f>
        <v/>
      </c>
      <c r="J90" s="18" t="n"/>
      <c r="K90" s="13">
        <f>IF($J$115&gt;1,L90*$J$115,"")</f>
        <v/>
      </c>
      <c r="L90" s="592">
        <f>SUM(L82:L89)</f>
        <v/>
      </c>
      <c r="M90" s="18" t="n"/>
      <c r="N90" s="13">
        <f>IF($J$116&gt;1,O90*$J$116,"")</f>
        <v/>
      </c>
      <c r="O90" s="592">
        <f>SUM(O82:O89)</f>
        <v/>
      </c>
      <c r="P90" s="18" t="n"/>
      <c r="Q90" s="51">
        <f>IF($J$117&gt;1,R90*$J$117,"")</f>
        <v/>
      </c>
      <c r="R90" s="592">
        <f>SUM(R82:R89)</f>
        <v/>
      </c>
      <c r="S90" s="18" t="n"/>
      <c r="T90" s="51">
        <f>IF($J$118&gt;1,U90*$J$118,"")</f>
        <v/>
      </c>
      <c r="U90" s="592">
        <f>SUM(U82:U89)</f>
        <v/>
      </c>
      <c r="V90" s="18" t="n"/>
      <c r="W90" s="51">
        <f>IF($J$119&gt;1,X90*$J$119,"")</f>
        <v/>
      </c>
      <c r="X90" s="592">
        <f>SUM(X82:X89)</f>
        <v/>
      </c>
      <c r="Y90" s="18" t="n"/>
      <c r="Z90" s="51">
        <f>IF($J$120&gt;1,AA90*$J$120,"")</f>
        <v/>
      </c>
      <c r="AA90" s="592">
        <f>SUM(AA82:AA89)</f>
        <v/>
      </c>
      <c r="AB90" s="578" t="n"/>
      <c r="AC90" s="51">
        <f>IF($J$121&gt;1,AD90*$J$121,"")</f>
        <v/>
      </c>
      <c r="AD90" s="592">
        <f>SUM(AD82:AD89)</f>
        <v/>
      </c>
      <c r="AE90" s="578" t="n"/>
      <c r="AF90" s="51">
        <f>IF($J$122&gt;1,AG90*$J$122,"")</f>
        <v/>
      </c>
      <c r="AG90" s="592">
        <f>SUM(AG82:AG89)</f>
        <v/>
      </c>
      <c r="AH90" s="580">
        <f>SUM(F90+I90+L90+O90+R90+U90+X90+AA90+AD90+AG90)</f>
        <v/>
      </c>
      <c r="AI90" s="69" t="n"/>
    </row>
    <row r="91" ht="14" customHeight="1" s="486">
      <c r="A91" s="209" t="n"/>
      <c r="B91" s="198" t="inlineStr">
        <is>
          <t>Mark up</t>
        </is>
      </c>
      <c r="C91" s="586" t="n">
        <v>0.1</v>
      </c>
      <c r="D91" s="207" t="n"/>
      <c r="E91" s="13">
        <f>IF($J$113&gt;1,F91*$J$113,"")</f>
        <v/>
      </c>
      <c r="F91" s="587">
        <f>IF(D91="Y",F90*$C$91,"0")</f>
        <v/>
      </c>
      <c r="G91" s="207" t="n"/>
      <c r="H91" s="13">
        <f>IF($J$114&gt;1,I91*$J$114,"")</f>
        <v/>
      </c>
      <c r="I91" s="587">
        <f>IF(G91="Y",I90*$C$91,"0")</f>
        <v/>
      </c>
      <c r="J91" s="207" t="n"/>
      <c r="K91" s="13">
        <f>IF($J$115&gt;1,L91*$J$115,"")</f>
        <v/>
      </c>
      <c r="L91" s="587">
        <f>IF(J91="Y",L90*$C$91,"0")</f>
        <v/>
      </c>
      <c r="M91" s="207" t="n"/>
      <c r="N91" s="13">
        <f>IF($J$116&gt;1,O91*$J$116,"")</f>
        <v/>
      </c>
      <c r="O91" s="587">
        <f>IF(M91="Y",O90*$C$91,"0")</f>
        <v/>
      </c>
      <c r="P91" s="207" t="n"/>
      <c r="Q91" s="13">
        <f>IF($J$117&gt;1,R91*$J$117,"")</f>
        <v/>
      </c>
      <c r="R91" s="587">
        <f>IF(P91="Y",R90*$C$91,"0")</f>
        <v/>
      </c>
      <c r="S91" s="207" t="n"/>
      <c r="T91" s="13">
        <f>IF($J$118&gt;1,U91*$J$118,"")</f>
        <v/>
      </c>
      <c r="U91" s="587">
        <f>IF(S91="Y",U90*$C$91,"0")</f>
        <v/>
      </c>
      <c r="V91" s="207" t="n"/>
      <c r="W91" s="13">
        <f>IF($J$119&gt;1,X91*$J$119,"")</f>
        <v/>
      </c>
      <c r="X91" s="587">
        <f>IF(V91="Y",X90*$C$91,"0")</f>
        <v/>
      </c>
      <c r="Y91" s="207" t="n"/>
      <c r="Z91" s="13">
        <f>IF($J$120&gt;1,AA91*$J$120,"")</f>
        <v/>
      </c>
      <c r="AA91" s="587">
        <f>IF(Y91="Y",AA90*$C$91,"0")</f>
        <v/>
      </c>
      <c r="AB91" s="593" t="n"/>
      <c r="AC91" s="13">
        <f>IF($J$121&gt;1,AD91*$J$121,"")</f>
        <v/>
      </c>
      <c r="AD91" s="587">
        <f>IF(AB91="Y",AD90*$C$91,"0")</f>
        <v/>
      </c>
      <c r="AE91" s="593" t="n"/>
      <c r="AF91" s="13">
        <f>IF($J$122&gt;1,AG91*$J$122,"")</f>
        <v/>
      </c>
      <c r="AG91" s="587">
        <f>IF(AE91="Y",AG90*$C$91,"0")</f>
        <v/>
      </c>
      <c r="AH91" s="580">
        <f>SUM(F91+I91+L91+O91+R91+U91+X91+AA91+AD91+AG91)</f>
        <v/>
      </c>
      <c r="AI91" s="204" t="n"/>
    </row>
    <row r="92" ht="14" customHeight="1" s="486">
      <c r="A92" s="209" t="n"/>
      <c r="B92" s="198" t="inlineStr">
        <is>
          <t>Discount Amount</t>
        </is>
      </c>
      <c r="C92" s="586" t="n">
        <v>0.2</v>
      </c>
      <c r="D92" s="207" t="n"/>
      <c r="E92" s="69">
        <f>IF($J$113&gt;1,F92*$J$113,"")</f>
        <v/>
      </c>
      <c r="F92" s="56">
        <f>IF(D92="Y",F90*$C$92,"0")</f>
        <v/>
      </c>
      <c r="G92" s="207" t="n"/>
      <c r="H92" s="69">
        <f>IF($J$114&gt;1,I92*$J$114,"")</f>
        <v/>
      </c>
      <c r="I92" s="56">
        <f>IF(G92="Y",I90*$C$92,"0")</f>
        <v/>
      </c>
      <c r="J92" s="207" t="n"/>
      <c r="K92" s="69">
        <f>IF($J$115&gt;1,L92*$J$115,"")</f>
        <v/>
      </c>
      <c r="L92" s="56">
        <f>IF(J92="Y",L90*$C$92,"0")</f>
        <v/>
      </c>
      <c r="M92" s="207" t="n"/>
      <c r="N92" s="69">
        <f>IF($J$116&gt;1,O92*$J$116,"")</f>
        <v/>
      </c>
      <c r="O92" s="56">
        <f>IF(M92="Y",O90*$C$92,"0")</f>
        <v/>
      </c>
      <c r="P92" s="207" t="n"/>
      <c r="Q92" s="204">
        <f>IF($J$117&gt;1,R92*$J$117,"")</f>
        <v/>
      </c>
      <c r="R92" s="56">
        <f>IF(P92="Y",R90*$C$92,"0")</f>
        <v/>
      </c>
      <c r="S92" s="67" t="n"/>
      <c r="T92" s="204">
        <f>IF($J$118&gt;1,U92*$J$118,"")</f>
        <v/>
      </c>
      <c r="U92" s="56">
        <f>IF(S92="Y",U90*$C$92,"0")</f>
        <v/>
      </c>
      <c r="V92" s="67" t="n"/>
      <c r="W92" s="204">
        <f>IF($J$119&gt;1,X92*$J$119,"")</f>
        <v/>
      </c>
      <c r="X92" s="56">
        <f>IF(V92="Y",X90*$C$92,"0")</f>
        <v/>
      </c>
      <c r="Y92" s="67" t="n"/>
      <c r="Z92" s="204">
        <f>IF($J$120&gt;1,AA92*$J$120,"")</f>
        <v/>
      </c>
      <c r="AA92" s="56">
        <f>IF(Y92="Y",AA90*$C$92,"0")</f>
        <v/>
      </c>
      <c r="AB92" s="247" t="n"/>
      <c r="AC92" s="204">
        <f>IF($J$121&gt;1,AD92*$J$121,"")</f>
        <v/>
      </c>
      <c r="AD92" s="56">
        <f>IF(AB92="Y",AD90*$C$92,"0")</f>
        <v/>
      </c>
      <c r="AE92" s="247" t="n"/>
      <c r="AF92" s="204">
        <f>IF($J$122&gt;1,AG92*$J$122,"")</f>
        <v/>
      </c>
      <c r="AG92" s="56">
        <f>IF(AE92="Y",AG90*$C$92,"0")</f>
        <v/>
      </c>
      <c r="AH92" s="580">
        <f>SUM(F92+I92+L92+O92+R92+U92+X92+AA92+AD92+AG92)</f>
        <v/>
      </c>
      <c r="AI92" s="204" t="n"/>
    </row>
    <row r="93" ht="14" customFormat="1" customHeight="1" s="48">
      <c r="A93" s="228" t="n"/>
      <c r="B93" s="58" t="inlineStr">
        <is>
          <t>FINAL PRICE</t>
        </is>
      </c>
      <c r="C93" s="594" t="n"/>
      <c r="D93" s="57" t="n"/>
      <c r="E93" s="52">
        <f>IF($J$113&gt;1,F93*$J$113,"")</f>
        <v/>
      </c>
      <c r="F93" s="595">
        <f>SUM(F90+F91-F92)+SUM(F74:F80)</f>
        <v/>
      </c>
      <c r="G93" s="57" t="n"/>
      <c r="H93" s="52">
        <f>IF($J$114&gt;1,I93*$J$114,"")</f>
        <v/>
      </c>
      <c r="I93" s="595">
        <f>SUM(I90+I91-I92)+SUM(I74:I80)</f>
        <v/>
      </c>
      <c r="J93" s="57" t="n"/>
      <c r="K93" s="52">
        <f>IF($J$115&gt;1,L93*$J$115,"")</f>
        <v/>
      </c>
      <c r="L93" s="595">
        <f>SUM(L90+L91-L92)+SUM(L74:L80)</f>
        <v/>
      </c>
      <c r="M93" s="57" t="n"/>
      <c r="N93" s="52">
        <f>IF($J$116&gt;1,O93*$J$116,"")</f>
        <v/>
      </c>
      <c r="O93" s="595">
        <f>SUM(O90+O91-O92)+SUM(O74:O80)</f>
        <v/>
      </c>
      <c r="P93" s="70" t="n"/>
      <c r="Q93" s="175">
        <f>IF($J$117&gt;1,R93*$J$117,"")</f>
        <v/>
      </c>
      <c r="R93" s="595">
        <f>SUM(R90+R91-R92)+SUM(R74:R80)</f>
        <v/>
      </c>
      <c r="S93" s="57" t="n"/>
      <c r="T93" s="175">
        <f>IF($J$118&gt;1,U93*$J$118,"")</f>
        <v/>
      </c>
      <c r="U93" s="595">
        <f>SUM(U90+U91-U92)+SUM(U74:U80)</f>
        <v/>
      </c>
      <c r="V93" s="57" t="n"/>
      <c r="W93" s="175">
        <f>IF($J$119&gt;1,X93*$J$119,"")</f>
        <v/>
      </c>
      <c r="X93" s="595">
        <f>SUM(X90+X91-X92)+SUM(X74:X80)</f>
        <v/>
      </c>
      <c r="Y93" s="57" t="n"/>
      <c r="Z93" s="175">
        <f>IF($J$120&gt;1,AA93*$J$120,"")</f>
        <v/>
      </c>
      <c r="AA93" s="595">
        <f>SUM(AA90+AA91-AA92)+SUM(AA74:AA80)</f>
        <v/>
      </c>
      <c r="AB93" s="596" t="n"/>
      <c r="AC93" s="175">
        <f>IF($J$121&gt;1,AD93*$J$121,"")</f>
        <v/>
      </c>
      <c r="AD93" s="595">
        <f>SUM(AD90+AD91-AD92)+SUM(AD74:AD80)</f>
        <v/>
      </c>
      <c r="AE93" s="596" t="n"/>
      <c r="AF93" s="175">
        <f>IF($J$121&gt;1,AG93*$J$121,"")</f>
        <v/>
      </c>
      <c r="AG93" s="595">
        <f>SUM(AG90+AG91-AG92)+SUM(AG74:AG80)</f>
        <v/>
      </c>
      <c r="AH93" s="580">
        <f>SUM(F93+I93+L93+O93+R93+U93+X93+AA93+AD93+AG93)</f>
        <v/>
      </c>
      <c r="AI93" s="205" t="n"/>
    </row>
    <row r="94" ht="14" customHeight="1" s="486">
      <c r="A94" s="209" t="n"/>
      <c r="B94" s="85" t="inlineStr">
        <is>
          <t>Unit Cost -  $ per Sq. Ft</t>
        </is>
      </c>
      <c r="C94" s="34" t="n"/>
      <c r="D94" s="32" t="n"/>
      <c r="E94" s="51" t="n"/>
      <c r="F94" s="597">
        <f>F93/H113</f>
        <v/>
      </c>
      <c r="G94" s="16" t="n"/>
      <c r="H94" s="33" t="n"/>
      <c r="I94" s="597">
        <f>I93/H114</f>
        <v/>
      </c>
      <c r="J94" s="16" t="n"/>
      <c r="K94" s="33" t="n"/>
      <c r="L94" s="597">
        <f>L93/H115</f>
        <v/>
      </c>
      <c r="M94" s="32" t="n"/>
      <c r="N94" s="33" t="n"/>
      <c r="O94" s="597">
        <f>O93/H116</f>
        <v/>
      </c>
      <c r="P94" s="71" t="n"/>
      <c r="Q94" s="33" t="n"/>
      <c r="R94" s="597">
        <f>R93/H117</f>
        <v/>
      </c>
      <c r="S94" s="32" t="n"/>
      <c r="T94" s="33" t="n"/>
      <c r="U94" s="597">
        <f>U93/H118</f>
        <v/>
      </c>
      <c r="V94" s="32" t="n"/>
      <c r="W94" s="33" t="n"/>
      <c r="X94" s="597">
        <f>X93/H119</f>
        <v/>
      </c>
      <c r="Y94" s="32" t="n"/>
      <c r="Z94" s="33" t="n"/>
      <c r="AA94" s="597">
        <f>AA93/H120</f>
        <v/>
      </c>
      <c r="AB94" s="598" t="n"/>
      <c r="AC94" s="598" t="n"/>
      <c r="AD94" s="597">
        <f>AD93/H121</f>
        <v/>
      </c>
      <c r="AE94" s="598" t="n"/>
      <c r="AF94" s="598" t="n"/>
      <c r="AG94" s="597">
        <f>AG93/H122</f>
        <v/>
      </c>
      <c r="AH94" s="74" t="n"/>
      <c r="AI94" s="204" t="n"/>
    </row>
    <row r="95" ht="14" customHeight="1" s="486">
      <c r="B95" s="85" t="inlineStr">
        <is>
          <t xml:space="preserve">Railing Cost -  $ per LF. </t>
        </is>
      </c>
      <c r="C95" s="34" t="n"/>
      <c r="D95" s="32" t="n"/>
      <c r="E95" s="597">
        <f>IF(C32="Y",((E31+E32+E34)/D32),IF(C33="Y",((E31+E33+E34)/D33),""))</f>
        <v/>
      </c>
      <c r="F95" s="599">
        <f>IF(D32="Y",(F31+F32+F34),"")</f>
        <v/>
      </c>
      <c r="G95" s="16" t="n"/>
      <c r="H95" s="33" t="n"/>
      <c r="I95" s="597" t="n"/>
      <c r="J95" s="16" t="n"/>
      <c r="K95" s="33" t="n"/>
      <c r="L95" s="597" t="n"/>
      <c r="M95" s="32" t="n"/>
      <c r="N95" s="33" t="n"/>
      <c r="O95" s="597" t="n"/>
      <c r="P95" s="71" t="n"/>
      <c r="Q95" s="33" t="n"/>
      <c r="R95" s="597" t="n"/>
      <c r="S95" s="32" t="n"/>
      <c r="T95" s="33" t="n"/>
      <c r="U95" s="597" t="n"/>
      <c r="V95" s="32" t="n"/>
      <c r="W95" s="33" t="n"/>
      <c r="X95" s="597" t="n"/>
      <c r="Y95" s="32" t="n"/>
      <c r="Z95" s="33" t="n"/>
      <c r="AA95" s="597" t="n"/>
      <c r="AB95" s="598" t="n"/>
      <c r="AC95" s="598" t="n"/>
      <c r="AD95" s="600" t="n"/>
      <c r="AE95" s="598" t="n"/>
      <c r="AF95" s="598" t="n"/>
      <c r="AG95" s="600" t="n"/>
      <c r="AH95" s="74" t="n"/>
      <c r="AI95" s="204" t="n"/>
    </row>
    <row r="96" ht="14" customHeight="1" s="486">
      <c r="B96" s="85" t="inlineStr">
        <is>
          <t>Total Sq. Footage of job</t>
        </is>
      </c>
      <c r="C96" s="84">
        <f>H123</f>
        <v/>
      </c>
      <c r="D96" s="18" t="n"/>
      <c r="E96" s="17" t="n"/>
      <c r="F96" s="17" t="n"/>
      <c r="G96" s="18" t="n"/>
      <c r="H96" s="17" t="n"/>
      <c r="I96" s="17" t="n"/>
      <c r="J96" s="18" t="n"/>
      <c r="K96" s="17" t="n"/>
      <c r="L96" s="17" t="n"/>
      <c r="M96" s="18" t="n"/>
      <c r="N96" s="17" t="n"/>
      <c r="O96" s="17" t="n"/>
      <c r="P96" s="65" t="n"/>
      <c r="Q96" s="72" t="n"/>
      <c r="R96" s="72" t="n"/>
      <c r="S96" s="65" t="n"/>
      <c r="T96" s="72" t="n"/>
      <c r="U96" s="72" t="n"/>
      <c r="V96" s="65" t="n"/>
      <c r="W96" s="72" t="n"/>
      <c r="X96" s="72" t="n"/>
      <c r="Y96" s="65" t="n"/>
      <c r="Z96" s="72" t="n"/>
      <c r="AA96" s="72" t="n"/>
      <c r="AB96" s="72" t="n"/>
      <c r="AC96" s="72" t="n"/>
      <c r="AD96" s="72" t="n"/>
      <c r="AE96" s="72" t="n"/>
      <c r="AF96" s="72" t="n"/>
      <c r="AG96" s="72" t="n"/>
      <c r="AH96" s="83">
        <f>H123</f>
        <v/>
      </c>
      <c r="AI96" s="75" t="n"/>
    </row>
    <row r="97" ht="14" customHeight="1" s="486">
      <c r="A97" s="209" t="n"/>
      <c r="B97" s="6" t="inlineStr">
        <is>
          <t>Weight</t>
        </is>
      </c>
      <c r="C97" s="6" t="n"/>
      <c r="D97" s="18" t="n"/>
      <c r="E97" s="17" t="n"/>
      <c r="F97" s="17" t="n"/>
      <c r="G97" s="18" t="n"/>
      <c r="H97" s="17" t="n"/>
      <c r="I97" s="17" t="n"/>
      <c r="J97" s="18" t="n"/>
      <c r="K97" s="17" t="n"/>
      <c r="L97" s="17" t="n"/>
      <c r="M97" s="18" t="n"/>
      <c r="N97" s="17" t="n"/>
      <c r="O97" s="17" t="n"/>
      <c r="P97" s="65" t="n"/>
      <c r="Q97" s="72" t="n"/>
      <c r="R97" s="72" t="n"/>
      <c r="S97" s="65" t="n"/>
      <c r="T97" s="72" t="n"/>
      <c r="U97" s="72" t="n"/>
      <c r="V97" s="65" t="n"/>
      <c r="W97" s="72" t="n"/>
      <c r="X97" s="72" t="n"/>
      <c r="Y97" s="65" t="n"/>
      <c r="Z97" s="72" t="n"/>
      <c r="AA97" s="72" t="n"/>
      <c r="AB97" s="72" t="n"/>
      <c r="AC97" s="72" t="n"/>
      <c r="AD97" s="72" t="n"/>
      <c r="AE97" s="72" t="n"/>
      <c r="AF97" s="72" t="n"/>
      <c r="AG97" s="72" t="n"/>
      <c r="AH97" s="62" t="n"/>
      <c r="AI97" s="75" t="n"/>
    </row>
    <row r="98" ht="14" customHeight="1" s="486">
      <c r="A98" s="209" t="n"/>
      <c r="B98" s="5" t="inlineStr">
        <is>
          <t>Glass Total - lbs.</t>
        </is>
      </c>
      <c r="C98" s="6" t="n"/>
      <c r="D98" s="18" t="n"/>
      <c r="E98" s="226">
        <f>IF(E9&gt;0,E9*$C$151,IF(E10&gt;0,E10*$C$152,IF(E11&gt;0,E11*$C$153,IF(E12&gt;0,E12*$C$151,IF(E13&gt;0,E13*$C$151,"")))))</f>
        <v/>
      </c>
      <c r="F98" s="17" t="inlineStr">
        <is>
          <t>lbs.</t>
        </is>
      </c>
      <c r="G98" s="18" t="n"/>
      <c r="H98" s="226">
        <f>IF(H9&gt;0,H9*$C$151,IF(H10&gt;0,H10*$C$152,IF(H11&gt;0,H11*$C$153,IF(H12&gt;0,H12*$C$151,IF(H13&gt;0,H13*$C$151,"")))))</f>
        <v/>
      </c>
      <c r="I98" s="17" t="inlineStr">
        <is>
          <t>lbs.</t>
        </is>
      </c>
      <c r="J98" s="18" t="n"/>
      <c r="K98" s="226">
        <f>IF(K9&gt;0,K9*$C$151,IF(K10&gt;0,K10*$C$152,IF(K11&gt;0,K11*$C$153,IF(K12&gt;0,K12*$C$151,IF(K13&gt;0,K13*$C$151,"")))))</f>
        <v/>
      </c>
      <c r="L98" s="17" t="inlineStr">
        <is>
          <t>lbs.</t>
        </is>
      </c>
      <c r="M98" s="18" t="n"/>
      <c r="N98" s="226">
        <f>IF(N9&gt;0,N9*$C$151,IF(N10&gt;0,N10*$C$152,IF(N11&gt;0,N11*$C$153,IF(N12&gt;0,N12*$C$151,IF(N13&gt;0,N13*$C$151,"")))))</f>
        <v/>
      </c>
      <c r="O98" s="17" t="inlineStr">
        <is>
          <t>lbs.</t>
        </is>
      </c>
      <c r="P98" s="18" t="n"/>
      <c r="Q98" s="226">
        <f>IF(Q9&gt;0,Q9*$C$151,IF(Q10&gt;0,Q10*$C$152,IF(Q11&gt;0,Q11*$C$153,IF(Q12&gt;0,Q12*$C$151,IF(Q13&gt;0,Q13*$C$151,"")))))</f>
        <v/>
      </c>
      <c r="R98" s="17" t="inlineStr">
        <is>
          <t>lbs.</t>
        </is>
      </c>
      <c r="S98" s="18" t="n"/>
      <c r="T98" s="226">
        <f>IF(T9&gt;0,T9*$C$151,IF(T10&gt;0,T10*$C$152,IF(T11&gt;0,T11*$C$153,IF(T12&gt;0,T12*$C$151,IF(T13&gt;0,T13*$C$151,"")))))</f>
        <v/>
      </c>
      <c r="U98" s="17" t="inlineStr">
        <is>
          <t>lbs.</t>
        </is>
      </c>
      <c r="V98" s="18" t="n"/>
      <c r="W98" s="226">
        <f>IF(W9&gt;0,W9*$C$151,IF(W10&gt;0,W10*$C$152,IF(W11&gt;0,W11*$C$153,IF(W12&gt;0,W12*$C$151,IF(W13&gt;0,W13*$C$151,"")))))</f>
        <v/>
      </c>
      <c r="X98" s="17" t="inlineStr">
        <is>
          <t>lbs.</t>
        </is>
      </c>
      <c r="Y98" s="18" t="n"/>
      <c r="Z98" s="226">
        <f>IF(Z9&gt;0,Z9*$C$151,IF(Z10&gt;0,Z10*$C$152,IF(Z11&gt;0,Z11*$C$153,IF(Z12&gt;0,Z12*$C$151,IF(Z13&gt;0,Z13*$C$151,"")))))</f>
        <v/>
      </c>
      <c r="AA98" s="17" t="inlineStr">
        <is>
          <t>lbs.</t>
        </is>
      </c>
      <c r="AB98" s="17" t="n"/>
      <c r="AC98" s="226">
        <f>IF(AC9&gt;0,AC9*$C$151,IF(AC10&gt;0,AC10*$C$152,IF(AC11&gt;0,AC11*$C$153,IF(AC12&gt;0,AC12*$C$151,IF(AC13&gt;0,AC13*$C$151,"")))))</f>
        <v/>
      </c>
      <c r="AD98" s="17" t="inlineStr">
        <is>
          <t>lbs.</t>
        </is>
      </c>
      <c r="AE98" s="17" t="n"/>
      <c r="AF98" s="226">
        <f>IF(AF9&gt;0,AF9*$C$151,IF(AF10&gt;0,AF10*$C$152,IF(AF11&gt;0,AF11*$C$153,IF(AF12&gt;0,AF12*$C$151,IF(AF13&gt;0,AF13*$C$151,"")))))</f>
        <v/>
      </c>
      <c r="AG98" s="17" t="inlineStr">
        <is>
          <t>lbs.</t>
        </is>
      </c>
      <c r="AH98" s="78">
        <f>SUM(E98+H98+K98+N98+Q98+T98+W98+Z98)</f>
        <v/>
      </c>
      <c r="AI98" s="17" t="inlineStr">
        <is>
          <t>lbs.</t>
        </is>
      </c>
    </row>
    <row r="99" ht="14" customHeight="1" s="486">
      <c r="A99" s="209" t="n"/>
      <c r="B99" s="25" t="inlineStr">
        <is>
          <t>Each Glass Panel - lbs.</t>
        </is>
      </c>
      <c r="C99" s="6" t="n"/>
      <c r="D99" s="18" t="n"/>
      <c r="E99" s="173">
        <f>E98/G113</f>
        <v/>
      </c>
      <c r="F99" s="416">
        <f>E99+150</f>
        <v/>
      </c>
      <c r="G99" s="18" t="n"/>
      <c r="H99" s="173">
        <f>H98/G114</f>
        <v/>
      </c>
      <c r="I99" s="17" t="inlineStr">
        <is>
          <t>lbs.</t>
        </is>
      </c>
      <c r="J99" s="18" t="n"/>
      <c r="K99" s="173">
        <f>K98/G115</f>
        <v/>
      </c>
      <c r="L99" s="17" t="inlineStr">
        <is>
          <t>lbs.</t>
        </is>
      </c>
      <c r="M99" s="18" t="n"/>
      <c r="N99" s="173">
        <f>N98/G116</f>
        <v/>
      </c>
      <c r="O99" s="17" t="inlineStr">
        <is>
          <t>lbs.</t>
        </is>
      </c>
      <c r="P99" s="18" t="n"/>
      <c r="Q99" s="173">
        <f>Q98/G117</f>
        <v/>
      </c>
      <c r="R99" s="17" t="inlineStr">
        <is>
          <t>lbs.</t>
        </is>
      </c>
      <c r="S99" s="18" t="n"/>
      <c r="T99" s="173">
        <f>T98/G118</f>
        <v/>
      </c>
      <c r="U99" s="17" t="inlineStr">
        <is>
          <t>lbs.</t>
        </is>
      </c>
      <c r="V99" s="18" t="n"/>
      <c r="W99" s="173">
        <f>W98/G119</f>
        <v/>
      </c>
      <c r="X99" s="17" t="inlineStr">
        <is>
          <t>lbs.</t>
        </is>
      </c>
      <c r="Y99" s="18" t="n"/>
      <c r="Z99" s="173">
        <f>Z98/G120</f>
        <v/>
      </c>
      <c r="AA99" s="17" t="inlineStr">
        <is>
          <t>lbs.</t>
        </is>
      </c>
      <c r="AB99" s="17" t="n"/>
      <c r="AC99" s="173">
        <f>AC98/G121</f>
        <v/>
      </c>
      <c r="AD99" s="17" t="inlineStr">
        <is>
          <t>lbs.</t>
        </is>
      </c>
      <c r="AE99" s="17" t="n"/>
      <c r="AF99" s="173">
        <f>AF98/G122</f>
        <v/>
      </c>
      <c r="AG99" s="17" t="inlineStr">
        <is>
          <t>lbs.</t>
        </is>
      </c>
      <c r="AH99" s="86" t="n"/>
      <c r="AI99" s="72" t="n"/>
    </row>
    <row r="100" ht="14" customHeight="1" s="486">
      <c r="A100" s="209" t="n"/>
      <c r="B100" s="5" t="inlineStr">
        <is>
          <t>Frame weight - lbs.</t>
        </is>
      </c>
      <c r="C100" s="6" t="n"/>
      <c r="D100" s="18" t="n"/>
      <c r="E100" s="173">
        <f>'Weights - Descriptions'!E22</f>
        <v/>
      </c>
      <c r="F100" s="416">
        <f>E100+200</f>
        <v/>
      </c>
      <c r="G100" s="18" t="n"/>
      <c r="H100" s="173">
        <f>'Weights - Descriptions'!F22</f>
        <v/>
      </c>
      <c r="I100" s="17" t="inlineStr">
        <is>
          <t>lbs.</t>
        </is>
      </c>
      <c r="J100" s="18" t="n"/>
      <c r="K100" s="173">
        <f>'Weights - Descriptions'!G22</f>
        <v/>
      </c>
      <c r="L100" s="17" t="inlineStr">
        <is>
          <t>lbs.</t>
        </is>
      </c>
      <c r="M100" s="18" t="n"/>
      <c r="N100" s="173">
        <f>'Weights - Descriptions'!H22</f>
        <v/>
      </c>
      <c r="O100" s="17" t="inlineStr">
        <is>
          <t>lbs.</t>
        </is>
      </c>
      <c r="P100" s="18" t="n"/>
      <c r="Q100" s="173">
        <f>'Weights - Descriptions'!I22</f>
        <v/>
      </c>
      <c r="R100" s="17" t="inlineStr">
        <is>
          <t>lbs.</t>
        </is>
      </c>
      <c r="S100" s="18" t="n"/>
      <c r="T100" s="173">
        <f>'Weights - Descriptions'!J22</f>
        <v/>
      </c>
      <c r="U100" s="17" t="inlineStr">
        <is>
          <t>lbs.</t>
        </is>
      </c>
      <c r="V100" s="18" t="n"/>
      <c r="W100" s="173">
        <f>'Weights - Descriptions'!K22</f>
        <v/>
      </c>
      <c r="X100" s="17" t="inlineStr">
        <is>
          <t>lbs.</t>
        </is>
      </c>
      <c r="Y100" s="18" t="n"/>
      <c r="Z100" s="173">
        <f>'Weights - Descriptions'!L22</f>
        <v/>
      </c>
      <c r="AA100" s="17" t="inlineStr">
        <is>
          <t>lbs.</t>
        </is>
      </c>
      <c r="AB100" s="17" t="n"/>
      <c r="AC100" s="173">
        <f>'Weights - Descriptions'!M22</f>
        <v/>
      </c>
      <c r="AD100" s="17" t="inlineStr">
        <is>
          <t>lbs.</t>
        </is>
      </c>
      <c r="AE100" s="17" t="n"/>
      <c r="AF100" s="173">
        <f>'Weights - Descriptions'!N22</f>
        <v/>
      </c>
      <c r="AG100" s="17" t="inlineStr">
        <is>
          <t>lbs.</t>
        </is>
      </c>
      <c r="AH100" s="78">
        <f>SUM(E100+H100+K100+N100+Q100+T100+W100+Z100)</f>
        <v/>
      </c>
      <c r="AI100" s="17" t="inlineStr">
        <is>
          <t>lbs.</t>
        </is>
      </c>
    </row>
    <row r="101" ht="14" customHeight="1" s="486">
      <c r="A101" s="209" t="n"/>
      <c r="B101" s="5" t="inlineStr">
        <is>
          <t>Total (glass and frame) - lbs. per unit</t>
        </is>
      </c>
      <c r="C101" s="6" t="n"/>
      <c r="D101" s="18" t="n"/>
      <c r="E101" s="173">
        <f>SUM(E100+E98)</f>
        <v/>
      </c>
      <c r="F101" s="17" t="inlineStr">
        <is>
          <t>lbs.</t>
        </is>
      </c>
      <c r="G101" s="18" t="n"/>
      <c r="H101" s="173">
        <f>SUM(H100+H98)</f>
        <v/>
      </c>
      <c r="I101" s="17" t="inlineStr">
        <is>
          <t>lbs.</t>
        </is>
      </c>
      <c r="J101" s="18" t="n"/>
      <c r="K101" s="173">
        <f>SUM(K100+K98)</f>
        <v/>
      </c>
      <c r="L101" s="17" t="inlineStr">
        <is>
          <t>lbs.</t>
        </is>
      </c>
      <c r="M101" s="18" t="n"/>
      <c r="N101" s="173">
        <f>SUM(N100+N98)</f>
        <v/>
      </c>
      <c r="O101" s="17" t="inlineStr">
        <is>
          <t>lbs.</t>
        </is>
      </c>
      <c r="P101" s="18" t="n"/>
      <c r="Q101" s="173">
        <f>SUM(Q100+Q98)</f>
        <v/>
      </c>
      <c r="R101" s="17" t="inlineStr">
        <is>
          <t>lbs.</t>
        </is>
      </c>
      <c r="S101" s="18" t="n"/>
      <c r="T101" s="173">
        <f>SUM(T100+T98)</f>
        <v/>
      </c>
      <c r="U101" s="17" t="inlineStr">
        <is>
          <t>lbs.</t>
        </is>
      </c>
      <c r="V101" s="18" t="n"/>
      <c r="W101" s="173">
        <f>SUM(W100+W98)</f>
        <v/>
      </c>
      <c r="X101" s="17" t="inlineStr">
        <is>
          <t>lbs.</t>
        </is>
      </c>
      <c r="Y101" s="18" t="n"/>
      <c r="Z101" s="173">
        <f>SUM(Z100+Z98)</f>
        <v/>
      </c>
      <c r="AA101" s="17" t="inlineStr">
        <is>
          <t>lbs.</t>
        </is>
      </c>
      <c r="AB101" s="17" t="n"/>
      <c r="AC101" s="173">
        <f>SUM(AC100+AC98)</f>
        <v/>
      </c>
      <c r="AD101" s="17" t="inlineStr">
        <is>
          <t>lbs.</t>
        </is>
      </c>
      <c r="AE101" s="17" t="n"/>
      <c r="AF101" s="173">
        <f>SUM(AF100+AF98)</f>
        <v/>
      </c>
      <c r="AG101" s="17" t="inlineStr">
        <is>
          <t>lbs.</t>
        </is>
      </c>
      <c r="AH101" s="78">
        <f>SUM(E101+H101+K101+N101+Q101+T101+W101+Z101)</f>
        <v/>
      </c>
      <c r="AI101" s="17" t="inlineStr">
        <is>
          <t>lbs.</t>
        </is>
      </c>
    </row>
    <row r="102" ht="14" customHeight="1" s="486">
      <c r="A102" s="209" t="n"/>
      <c r="B102" s="5" t="inlineStr">
        <is>
          <t>Total of all units</t>
        </is>
      </c>
      <c r="C102" s="6" t="n"/>
      <c r="D102" s="18" t="n"/>
      <c r="E102" s="173">
        <f>E101*J113</f>
        <v/>
      </c>
      <c r="F102" s="17" t="inlineStr">
        <is>
          <t>lbs.</t>
        </is>
      </c>
      <c r="G102" s="18" t="n"/>
      <c r="H102" s="173">
        <f>H101*J114</f>
        <v/>
      </c>
      <c r="I102" s="17" t="inlineStr">
        <is>
          <t>lbs.</t>
        </is>
      </c>
      <c r="J102" s="18" t="n"/>
      <c r="K102" s="173">
        <f>K101*J115</f>
        <v/>
      </c>
      <c r="L102" s="17" t="inlineStr">
        <is>
          <t>lbs.</t>
        </is>
      </c>
      <c r="M102" s="18" t="n"/>
      <c r="N102" s="173">
        <f>N101*J116</f>
        <v/>
      </c>
      <c r="O102" s="17" t="inlineStr">
        <is>
          <t>lbs.</t>
        </is>
      </c>
      <c r="P102" s="65" t="n"/>
      <c r="Q102" s="173">
        <f>Q101*J117</f>
        <v/>
      </c>
      <c r="R102" s="17" t="inlineStr">
        <is>
          <t>lbs.</t>
        </is>
      </c>
      <c r="S102" s="65" t="n"/>
      <c r="T102" s="173">
        <f>T101*J118</f>
        <v/>
      </c>
      <c r="U102" s="17" t="inlineStr">
        <is>
          <t>lbs.</t>
        </is>
      </c>
      <c r="V102" s="65" t="n"/>
      <c r="W102" s="173">
        <f>W101*J119</f>
        <v/>
      </c>
      <c r="X102" s="17" t="inlineStr">
        <is>
          <t>lbs.</t>
        </is>
      </c>
      <c r="Y102" s="65" t="n"/>
      <c r="Z102" s="173">
        <f>Z101*J120</f>
        <v/>
      </c>
      <c r="AA102" s="17" t="inlineStr">
        <is>
          <t>lbs.</t>
        </is>
      </c>
      <c r="AB102" s="17" t="n"/>
      <c r="AC102" s="173">
        <f>AC101*J121</f>
        <v/>
      </c>
      <c r="AD102" s="17" t="inlineStr">
        <is>
          <t>lbs.</t>
        </is>
      </c>
      <c r="AE102" s="17" t="n"/>
      <c r="AF102" s="173">
        <f>AF101*J122</f>
        <v/>
      </c>
      <c r="AG102" s="17" t="inlineStr">
        <is>
          <t>lbs.</t>
        </is>
      </c>
      <c r="AH102" s="56" t="n"/>
      <c r="AI102" s="75" t="n"/>
    </row>
    <row r="103" ht="14" customHeight="1" s="486">
      <c r="A103" s="209" t="n"/>
      <c r="B103" s="164" t="inlineStr">
        <is>
          <t xml:space="preserve">Total weight of all units </t>
        </is>
      </c>
      <c r="C103" s="173">
        <f>SUM(E102+H102+K102+N102+Q102+T102+W102+Z102)</f>
        <v/>
      </c>
      <c r="D103" s="165" t="inlineStr">
        <is>
          <t>lbs</t>
        </is>
      </c>
      <c r="E103" s="17" t="n"/>
      <c r="F103" s="17" t="n"/>
      <c r="G103" s="18" t="n"/>
      <c r="H103" s="17" t="n"/>
      <c r="I103" s="17" t="n"/>
      <c r="J103" s="18" t="n"/>
      <c r="K103" s="17" t="n"/>
      <c r="L103" s="17" t="n"/>
      <c r="M103" s="18" t="n"/>
      <c r="N103" s="17" t="n"/>
      <c r="O103" s="17" t="n"/>
      <c r="P103" s="65" t="n"/>
      <c r="Q103" s="17" t="n"/>
      <c r="R103" s="17" t="n"/>
      <c r="S103" s="65" t="n"/>
      <c r="T103" s="17" t="n"/>
      <c r="U103" s="17" t="n"/>
      <c r="V103" s="65" t="n"/>
      <c r="W103" s="17" t="n"/>
      <c r="X103" s="17" t="n"/>
      <c r="Y103" s="65" t="n"/>
      <c r="Z103" s="17" t="n"/>
      <c r="AA103" s="17" t="n"/>
      <c r="AB103" s="17" t="n"/>
      <c r="AC103" s="17" t="n"/>
      <c r="AD103" s="17" t="n"/>
      <c r="AE103" s="17" t="n"/>
      <c r="AF103" s="17" t="n"/>
      <c r="AG103" s="17" t="n"/>
      <c r="AH103" s="162" t="n"/>
      <c r="AI103" s="163" t="n"/>
    </row>
    <row r="104" ht="14" customHeight="1" s="486">
      <c r="A104" s="209" t="n"/>
      <c r="B104" s="21" t="inlineStr">
        <is>
          <t>Add Alternates</t>
        </is>
      </c>
      <c r="C104" s="21" t="n"/>
      <c r="D104" s="79" t="n"/>
      <c r="E104" s="80" t="n"/>
      <c r="F104" s="80" t="n"/>
      <c r="G104" s="79" t="n"/>
      <c r="H104" s="80" t="n"/>
      <c r="I104" s="80" t="n"/>
      <c r="J104" s="79" t="n"/>
      <c r="K104" s="80" t="n"/>
      <c r="L104" s="80" t="n"/>
      <c r="M104" s="79" t="n"/>
      <c r="N104" s="80" t="n"/>
      <c r="O104" s="80" t="n"/>
      <c r="P104" s="81" t="n"/>
      <c r="Q104" s="82" t="n"/>
      <c r="R104" s="82" t="n"/>
      <c r="S104" s="81" t="n"/>
      <c r="T104" s="82" t="n"/>
      <c r="U104" s="82" t="n"/>
      <c r="V104" s="81" t="n"/>
      <c r="W104" s="82" t="n"/>
      <c r="X104" s="82" t="n"/>
      <c r="Y104" s="81" t="n"/>
      <c r="Z104" s="82" t="n"/>
      <c r="AA104" s="82" t="n"/>
      <c r="AB104" s="82" t="n"/>
      <c r="AC104" s="82" t="n"/>
      <c r="AD104" s="82" t="n"/>
      <c r="AE104" s="82" t="n"/>
      <c r="AF104" s="82" t="n"/>
      <c r="AG104" s="82" t="n"/>
      <c r="AJ104" s="538" t="n"/>
      <c r="AK104" s="538" t="n"/>
      <c r="AL104" s="538" t="n"/>
    </row>
    <row r="105" ht="14" customFormat="1" customHeight="1" s="182">
      <c r="A105" s="223" t="n"/>
      <c r="B105" s="185" t="inlineStr">
        <is>
          <t>Seeded Organic</t>
        </is>
      </c>
      <c r="C105" s="601">
        <f>'Bonnell - Glass Pricing'!D51</f>
        <v/>
      </c>
      <c r="D105" s="207" t="n"/>
      <c r="E105" s="256">
        <f>IF(D105="y",H113*J113,0)</f>
        <v/>
      </c>
      <c r="F105" s="602">
        <f>$C$105*E105</f>
        <v/>
      </c>
      <c r="G105" s="207" t="n"/>
      <c r="H105" s="256">
        <f>IF(G105="y",H114*J114,0)</f>
        <v/>
      </c>
      <c r="I105" s="602">
        <f>$C$105*H105</f>
        <v/>
      </c>
      <c r="J105" s="207" t="n"/>
      <c r="K105" s="256">
        <f>IF(J105="y",H115*J115,0)</f>
        <v/>
      </c>
      <c r="L105" s="602">
        <f>$C$105*K105</f>
        <v/>
      </c>
      <c r="M105" s="207" t="n"/>
      <c r="N105" s="256">
        <f>IF(M105="y",H116*J116,0)</f>
        <v/>
      </c>
      <c r="O105" s="602">
        <f>$C$105*N105</f>
        <v/>
      </c>
      <c r="P105" s="207" t="n"/>
      <c r="Q105" s="256">
        <f>IF(P105="y",H117*J117,0)</f>
        <v/>
      </c>
      <c r="R105" s="602">
        <f>$C$105*Q105</f>
        <v/>
      </c>
      <c r="S105" s="207" t="n"/>
      <c r="T105" s="256">
        <f>IF(S105="y",H118*J118,0)</f>
        <v/>
      </c>
      <c r="U105" s="602">
        <f>$C$105*T105</f>
        <v/>
      </c>
      <c r="V105" s="207" t="n"/>
      <c r="W105" s="256">
        <f>IF(V105="y",H119*J119,0)</f>
        <v/>
      </c>
      <c r="X105" s="602">
        <f>$C$105*W105</f>
        <v/>
      </c>
      <c r="Y105" s="207" t="n"/>
      <c r="Z105" s="256">
        <f>IF(Y105="y",H120*J120,0)</f>
        <v/>
      </c>
      <c r="AA105" s="602">
        <f>$C$105*Z105</f>
        <v/>
      </c>
      <c r="AB105" s="207" t="n"/>
      <c r="AC105" s="256">
        <f>IF(AB105="y",H121*J121,0)</f>
        <v/>
      </c>
      <c r="AD105" s="602">
        <f>$C$105*AC105</f>
        <v/>
      </c>
      <c r="AE105" s="207" t="n"/>
      <c r="AF105" s="256">
        <f>IF(AE105="y",H122*J122,0)</f>
        <v/>
      </c>
      <c r="AG105" s="602">
        <f>$C$105*AF105</f>
        <v/>
      </c>
      <c r="AH105" s="570" t="n"/>
      <c r="AI105" s="570" t="n"/>
      <c r="AJ105" s="570" t="n"/>
      <c r="AK105" s="570" t="n"/>
      <c r="AL105" s="570" t="n"/>
    </row>
    <row r="106" ht="14" customFormat="1" customHeight="1" s="182">
      <c r="A106" s="223" t="n"/>
      <c r="B106" s="185" t="inlineStr">
        <is>
          <t>Blur</t>
        </is>
      </c>
      <c r="C106" s="603">
        <f>'Bonnell - Glass Pricing'!D52</f>
        <v/>
      </c>
      <c r="D106" s="207" t="n"/>
      <c r="E106" s="256">
        <f>IF(D106="y",$H113*J113,0)</f>
        <v/>
      </c>
      <c r="F106" s="602">
        <f>$C$106*E106</f>
        <v/>
      </c>
      <c r="G106" s="207" t="n"/>
      <c r="H106" s="256">
        <f>IF(G106="y",H114*J114,0)</f>
        <v/>
      </c>
      <c r="I106" s="602">
        <f>$C$106*H106</f>
        <v/>
      </c>
      <c r="J106" s="207" t="n"/>
      <c r="K106" s="256">
        <f>IF(J106="y",$H115*J115,0)</f>
        <v/>
      </c>
      <c r="L106" s="602">
        <f>$C$106*K106</f>
        <v/>
      </c>
      <c r="M106" s="207" t="n"/>
      <c r="N106" s="256">
        <f>IF(M106="y",$H116*J116,0)</f>
        <v/>
      </c>
      <c r="O106" s="602">
        <f>$C$106*N106</f>
        <v/>
      </c>
      <c r="P106" s="67" t="n"/>
      <c r="Q106" s="256">
        <f>IF(P106="y",$H117*J117,0)</f>
        <v/>
      </c>
      <c r="R106" s="602">
        <f>$C$106*Q106</f>
        <v/>
      </c>
      <c r="S106" s="67" t="n"/>
      <c r="T106" s="256">
        <f>IF(S106="y",$H118*J118,0)</f>
        <v/>
      </c>
      <c r="U106" s="602">
        <f>$C$106*T106</f>
        <v/>
      </c>
      <c r="V106" s="67" t="n"/>
      <c r="W106" s="256">
        <f>IF(V106="y",$H119*J119,0)</f>
        <v/>
      </c>
      <c r="X106" s="602">
        <f>$C$106*W106</f>
        <v/>
      </c>
      <c r="Y106" s="67" t="n"/>
      <c r="Z106" s="256">
        <f>IF(Y106="y",$H120*J120,0)</f>
        <v/>
      </c>
      <c r="AA106" s="602">
        <f>$C$106*Z106</f>
        <v/>
      </c>
      <c r="AB106" s="67" t="n"/>
      <c r="AC106" s="256">
        <f>IF(AB106="y",$H121*J121,0)</f>
        <v/>
      </c>
      <c r="AD106" s="602">
        <f>$C$106*AC106</f>
        <v/>
      </c>
      <c r="AE106" s="67" t="n"/>
      <c r="AF106" s="256">
        <f>IF(AE106="y",$H122*J122,0)</f>
        <v/>
      </c>
      <c r="AG106" s="602">
        <f>$C$106*AF106</f>
        <v/>
      </c>
      <c r="AH106" s="570" t="n"/>
      <c r="AI106" s="570" t="n"/>
      <c r="AJ106" s="570" t="n"/>
      <c r="AK106" s="570" t="n"/>
      <c r="AL106" s="570" t="n"/>
    </row>
    <row r="107" ht="14" customHeight="1" s="486">
      <c r="A107" s="209" t="n"/>
      <c r="B107" s="5" t="inlineStr">
        <is>
          <t xml:space="preserve">Heat Soak Testing </t>
        </is>
      </c>
      <c r="C107" s="206" t="n">
        <v>2</v>
      </c>
      <c r="D107" s="207" t="n"/>
      <c r="E107" s="200">
        <f>IF(D107="Y",H113*J113,0)</f>
        <v/>
      </c>
      <c r="F107" s="202">
        <f>E107*$C107</f>
        <v/>
      </c>
      <c r="G107" s="206" t="n"/>
      <c r="H107" s="200">
        <f>IF(G107="Y",H114*J114,0)</f>
        <v/>
      </c>
      <c r="I107" s="202">
        <f>H107*$C107</f>
        <v/>
      </c>
      <c r="J107" s="206" t="n"/>
      <c r="K107" s="200">
        <f>IF(J107="Y",$H$115*J115,0)</f>
        <v/>
      </c>
      <c r="L107" s="202">
        <f>K107*$C107</f>
        <v/>
      </c>
      <c r="M107" s="206" t="n"/>
      <c r="N107" s="200">
        <f>IF(M107="Y",$H$116*J116,0)</f>
        <v/>
      </c>
      <c r="O107" s="202">
        <f>N107*$C107</f>
        <v/>
      </c>
      <c r="P107" s="206" t="n"/>
      <c r="Q107" s="200">
        <f>IF(P107="Y",$H$117*J117,0)</f>
        <v/>
      </c>
      <c r="R107" s="202">
        <f>Q107*$C107</f>
        <v/>
      </c>
      <c r="S107" s="206" t="n"/>
      <c r="T107" s="200">
        <f>IF(S107="Y",$H$118*J118,0)</f>
        <v/>
      </c>
      <c r="U107" s="202">
        <f>T107*$C107</f>
        <v/>
      </c>
      <c r="V107" s="206" t="n"/>
      <c r="W107" s="200">
        <f>IF(V107="Y",$H119*J119,0)</f>
        <v/>
      </c>
      <c r="X107" s="202">
        <f>W107*$C107</f>
        <v/>
      </c>
      <c r="Y107" s="206" t="n"/>
      <c r="Z107" s="200">
        <f>IF(Y107="Y",H120*J120,0)</f>
        <v/>
      </c>
      <c r="AA107" s="202">
        <f>Z107*$C107</f>
        <v/>
      </c>
      <c r="AB107" s="206" t="n"/>
      <c r="AC107" s="200">
        <f>IF(AB107="Y",H121*J121,0)</f>
        <v/>
      </c>
      <c r="AD107" s="202">
        <f>AC107*$C107</f>
        <v/>
      </c>
      <c r="AE107" s="206" t="n"/>
      <c r="AF107" s="200">
        <f>IF(AE107="Y",H122*J122,0)</f>
        <v/>
      </c>
      <c r="AG107" s="202">
        <f>AF107*$C107</f>
        <v/>
      </c>
      <c r="AI107" s="37" t="n"/>
      <c r="AJ107" s="538" t="n"/>
    </row>
    <row r="108" ht="14" customHeight="1" s="486" thickBot="1">
      <c r="A108" s="209" t="n"/>
      <c r="B108" s="333" t="inlineStr">
        <is>
          <t>Nano Dot</t>
        </is>
      </c>
      <c r="C108" s="259" t="n">
        <v>56</v>
      </c>
      <c r="D108" s="229" t="n"/>
      <c r="E108" s="260">
        <f>IF(D108="Y",H113*J113,0)</f>
        <v/>
      </c>
      <c r="F108" s="261">
        <f>E108*$C108</f>
        <v/>
      </c>
      <c r="G108" s="259" t="n"/>
      <c r="H108" s="256">
        <f>IF(G108="y",H114*J114,0)</f>
        <v/>
      </c>
      <c r="I108" s="261">
        <f>H108*$C108</f>
        <v/>
      </c>
      <c r="J108" s="259" t="n"/>
      <c r="K108" s="256">
        <f>IF(J108="y",H115*J115,0)</f>
        <v/>
      </c>
      <c r="L108" s="261">
        <f>K108*$C108</f>
        <v/>
      </c>
      <c r="M108" s="259" t="n"/>
      <c r="N108" s="256">
        <f>IF(M108="y",H116*J116,0)</f>
        <v/>
      </c>
      <c r="O108" s="261">
        <f>N108*$C108</f>
        <v/>
      </c>
      <c r="P108" s="167" t="n"/>
      <c r="Q108" s="260">
        <f>IF(P108="Y",$H$117*J117,0)</f>
        <v/>
      </c>
      <c r="R108" s="261">
        <f>Q108*$C108</f>
        <v/>
      </c>
      <c r="S108" s="167" t="n"/>
      <c r="T108" s="260">
        <f>IF(S108="Y",H118*J118,0)</f>
        <v/>
      </c>
      <c r="U108" s="261">
        <f>T108*$C108</f>
        <v/>
      </c>
      <c r="V108" s="167" t="n"/>
      <c r="W108" s="260">
        <f>IF(V108="Y",H119*J119,0)</f>
        <v/>
      </c>
      <c r="X108" s="261">
        <f>W108*$C108</f>
        <v/>
      </c>
      <c r="Y108" s="167" t="n"/>
      <c r="Z108" s="260">
        <f>IF(Y108="Y",H120*J120,0)</f>
        <v/>
      </c>
      <c r="AA108" s="261">
        <f>Z108*$C108</f>
        <v/>
      </c>
      <c r="AB108" s="167" t="n"/>
      <c r="AC108" s="260">
        <f>IF(AB108="Y",H121*J121,0)</f>
        <v/>
      </c>
      <c r="AD108" s="261">
        <f>AC108*$C108</f>
        <v/>
      </c>
      <c r="AE108" s="167" t="n"/>
      <c r="AF108" s="260">
        <f>IF(AE108="Y",H122*J122,0)</f>
        <v/>
      </c>
      <c r="AG108" s="261">
        <f>AF108*$C108</f>
        <v/>
      </c>
      <c r="AI108" s="37" t="n"/>
      <c r="AJ108" s="538" t="n"/>
    </row>
    <row r="109" ht="14" customHeight="1" s="486" thickTop="1">
      <c r="A109" s="209" t="n"/>
      <c r="B109" s="26" t="inlineStr">
        <is>
          <t>Total of adds</t>
        </is>
      </c>
      <c r="C109" s="26" t="n"/>
      <c r="D109" s="12" t="n"/>
      <c r="E109" s="87" t="n"/>
      <c r="F109" s="51">
        <f>SUM(F105:F108)</f>
        <v/>
      </c>
      <c r="G109" s="87" t="n"/>
      <c r="H109" s="88" t="n"/>
      <c r="I109" s="51">
        <f>SUM(I105:I108)</f>
        <v/>
      </c>
      <c r="J109" s="87" t="n"/>
      <c r="K109" s="89" t="n"/>
      <c r="L109" s="51">
        <f>SUM(L105:L108)</f>
        <v/>
      </c>
      <c r="M109" s="87" t="n"/>
      <c r="N109" s="89" t="n"/>
      <c r="O109" s="51">
        <f>SUM(O105:O108)</f>
        <v/>
      </c>
      <c r="P109" s="90" t="n"/>
      <c r="Q109" s="89" t="n"/>
      <c r="R109" s="51">
        <f>SUM(R105:R108)</f>
        <v/>
      </c>
      <c r="S109" s="90" t="n"/>
      <c r="T109" s="89" t="n"/>
      <c r="U109" s="51">
        <f>SUM(U105:U108)</f>
        <v/>
      </c>
      <c r="V109" s="90" t="n"/>
      <c r="W109" s="89" t="n"/>
      <c r="X109" s="51">
        <f>SUM(X105:X108)</f>
        <v/>
      </c>
      <c r="Y109" s="90" t="n"/>
      <c r="Z109" s="89" t="n"/>
      <c r="AA109" s="51">
        <f>SUM(AA105:AA108)</f>
        <v/>
      </c>
      <c r="AB109" s="51" t="n"/>
      <c r="AC109" s="51" t="n"/>
      <c r="AD109" s="51">
        <f>SUM(AD105:AD108)</f>
        <v/>
      </c>
      <c r="AE109" s="51" t="n"/>
      <c r="AF109" s="51" t="n"/>
      <c r="AG109" s="51">
        <f>SUM(AG105:AG108)</f>
        <v/>
      </c>
      <c r="AJ109" s="538" t="n"/>
      <c r="AK109" s="538" t="n"/>
      <c r="AL109" s="36" t="n"/>
    </row>
    <row r="110" ht="14" customHeight="1" s="486" thickBot="1">
      <c r="B110" s="430" t="inlineStr">
        <is>
          <t>Take Off Sheet</t>
        </is>
      </c>
      <c r="C110" s="604" t="n"/>
      <c r="D110" s="604" t="n"/>
      <c r="E110" s="604" t="n"/>
      <c r="F110" s="604" t="n"/>
      <c r="G110" s="604" t="n"/>
      <c r="H110" s="604" t="n"/>
      <c r="I110" s="604" t="n"/>
      <c r="J110" s="604" t="n"/>
      <c r="K110" s="604" t="n"/>
      <c r="L110" s="604" t="n"/>
      <c r="M110" s="604" t="n"/>
      <c r="N110" s="604" t="n"/>
      <c r="O110" s="604" t="n"/>
      <c r="P110" s="36" t="n"/>
      <c r="Q110" s="36" t="n"/>
      <c r="R110" s="36" t="n"/>
      <c r="S110" s="36" t="n"/>
      <c r="T110" s="36" t="n"/>
      <c r="U110" s="36" t="n"/>
      <c r="V110" s="36" t="n"/>
      <c r="W110" s="36" t="n"/>
      <c r="X110" s="36" t="n"/>
      <c r="Y110" s="36" t="n"/>
      <c r="Z110" s="36" t="n"/>
      <c r="AA110" s="36" t="n"/>
      <c r="AB110" s="36" t="n"/>
      <c r="AC110" s="36" t="n"/>
      <c r="AD110" s="36" t="n"/>
      <c r="AE110" s="36" t="n"/>
      <c r="AF110" s="36" t="n"/>
      <c r="AG110" s="36" t="n"/>
    </row>
    <row r="111" ht="14" customHeight="1" s="486">
      <c r="B111" s="43" t="inlineStr">
        <is>
          <t>Inches</t>
        </is>
      </c>
      <c r="C111" s="26" t="n"/>
      <c r="D111" s="12" t="n"/>
      <c r="E111" s="12" t="n"/>
      <c r="F111" s="12" t="n"/>
      <c r="G111" s="12" t="n"/>
      <c r="H111" s="12" t="n"/>
      <c r="I111" s="12" t="inlineStr">
        <is>
          <t>LF</t>
        </is>
      </c>
      <c r="J111" s="426" t="n"/>
      <c r="K111" s="12" t="inlineStr">
        <is>
          <t>Rafters</t>
        </is>
      </c>
      <c r="L111" s="573" t="n"/>
      <c r="M111" s="427" t="n"/>
      <c r="N111" s="12" t="n"/>
      <c r="O111" s="12" t="inlineStr">
        <is>
          <t>Per Sq. Ft Cost</t>
        </is>
      </c>
    </row>
    <row r="112" ht="57" customHeight="1" s="486" thickBot="1">
      <c r="B112" s="480" t="inlineStr">
        <is>
          <t>Location</t>
        </is>
      </c>
      <c r="C112" s="480" t="inlineStr">
        <is>
          <t>Drawing #</t>
        </is>
      </c>
      <c r="D112" s="480" t="inlineStr">
        <is>
          <t>Unit</t>
        </is>
      </c>
      <c r="E112" s="176" t="inlineStr">
        <is>
          <t>Width                 (Short Side)</t>
        </is>
      </c>
      <c r="F112" s="176" t="inlineStr">
        <is>
          <t>Length          (Long Side)</t>
        </is>
      </c>
      <c r="G112" s="161" t="inlineStr">
        <is>
          <t># of panels</t>
        </is>
      </c>
      <c r="H112" s="480" t="inlineStr">
        <is>
          <t>Total Sq. Ft</t>
        </is>
      </c>
      <c r="I112" s="480" t="inlineStr">
        <is>
          <t>Perimeter</t>
        </is>
      </c>
      <c r="J112" s="46" t="inlineStr">
        <is>
          <t># of units</t>
        </is>
      </c>
      <c r="K112" s="156" t="inlineStr">
        <is>
          <t>Vertical                   (Width)</t>
        </is>
      </c>
      <c r="L112" s="156" t="inlineStr">
        <is>
          <t>Horizontal            (Length)</t>
        </is>
      </c>
      <c r="M112" s="161" t="inlineStr">
        <is>
          <t>Glass Thickness</t>
        </is>
      </c>
      <c r="N112" s="480" t="inlineStr">
        <is>
          <t>Total length</t>
        </is>
      </c>
      <c r="O112" s="480" t="inlineStr">
        <is>
          <t>Unit cost</t>
        </is>
      </c>
      <c r="Q112" s="9" t="n">
        <v>500</v>
      </c>
      <c r="R112" s="37" t="n"/>
      <c r="S112" s="37" t="n"/>
      <c r="T112" s="37" t="n"/>
      <c r="U112" s="37" t="n"/>
      <c r="V112" s="37" t="n"/>
      <c r="W112" s="37" t="n"/>
      <c r="X112" s="37" t="n"/>
      <c r="Y112" s="37" t="n"/>
      <c r="Z112" s="37" t="n"/>
      <c r="AA112" s="37" t="n"/>
      <c r="AB112" s="37" t="n"/>
      <c r="AC112" s="37" t="n"/>
      <c r="AD112" s="37" t="n"/>
      <c r="AE112" s="37" t="n"/>
      <c r="AF112" s="37" t="n"/>
      <c r="AG112" s="37" t="n"/>
      <c r="AH112" s="37" t="n"/>
    </row>
    <row r="113" ht="14" customHeight="1" s="486">
      <c r="B113" s="208" t="n"/>
      <c r="C113" s="208" t="n"/>
      <c r="D113" s="12" t="inlineStr">
        <is>
          <t>A</t>
        </is>
      </c>
      <c r="E113" s="330" t="n"/>
      <c r="F113" s="330" t="n"/>
      <c r="G113" s="208" t="n"/>
      <c r="H113" s="199">
        <f>SUM(E113*F113)/144</f>
        <v/>
      </c>
      <c r="I113" s="199">
        <f>SUM((E113*2)+(F113*2))/ 12</f>
        <v/>
      </c>
      <c r="J113" s="331" t="n"/>
      <c r="K113" s="91" t="n"/>
      <c r="L113" s="208" t="n"/>
      <c r="M113" s="12" t="n"/>
      <c r="N113" s="201">
        <f>(K113*E113)+(L113*F113)</f>
        <v/>
      </c>
      <c r="O113" s="38">
        <f>H113*$Q$112</f>
        <v/>
      </c>
    </row>
    <row r="114" ht="14" customHeight="1" s="486">
      <c r="B114" s="208" t="n"/>
      <c r="C114" s="207" t="n"/>
      <c r="D114" s="466" t="inlineStr">
        <is>
          <t>B</t>
        </is>
      </c>
      <c r="E114" s="330" t="n"/>
      <c r="F114" s="330" t="n"/>
      <c r="G114" s="208" t="n"/>
      <c r="H114" s="200">
        <f>SUM(E114*F114)/144</f>
        <v/>
      </c>
      <c r="I114" s="200">
        <f>SUM((E114*2)+(F114*2))/ 12</f>
        <v/>
      </c>
      <c r="J114" s="331" t="n"/>
      <c r="K114" s="55" t="n"/>
      <c r="L114" s="8" t="n"/>
      <c r="M114" s="466" t="n"/>
      <c r="N114" s="201">
        <f>(K114*E114)+(L114*F114)</f>
        <v/>
      </c>
      <c r="O114" s="10">
        <f>H114*$Q$112</f>
        <v/>
      </c>
    </row>
    <row r="115" ht="14" customHeight="1" s="486">
      <c r="B115" s="208" t="n"/>
      <c r="C115" s="207" t="n"/>
      <c r="D115" s="466" t="inlineStr">
        <is>
          <t>C</t>
        </is>
      </c>
      <c r="E115" s="330" t="n"/>
      <c r="F115" s="330" t="n"/>
      <c r="G115" s="208" t="n"/>
      <c r="H115" s="200">
        <f>SUM(E115*F115)/144</f>
        <v/>
      </c>
      <c r="I115" s="200">
        <f>SUM((E115*2)+(F115*2))/ 12</f>
        <v/>
      </c>
      <c r="J115" s="331" t="n"/>
      <c r="K115" s="55" t="n"/>
      <c r="L115" s="8" t="n"/>
      <c r="M115" s="466" t="n"/>
      <c r="N115" s="201">
        <f>(K115*E115)+(L115*F115)</f>
        <v/>
      </c>
      <c r="O115" s="10">
        <f>H115*$Q$112</f>
        <v/>
      </c>
    </row>
    <row r="116" ht="14" customHeight="1" s="486">
      <c r="B116" s="207" t="n"/>
      <c r="C116" s="207" t="n"/>
      <c r="D116" s="466" t="inlineStr">
        <is>
          <t>D</t>
        </is>
      </c>
      <c r="E116" s="330" t="n"/>
      <c r="F116" s="330" t="n"/>
      <c r="G116" s="208" t="n"/>
      <c r="H116" s="200">
        <f>SUM(E116*F116)/144</f>
        <v/>
      </c>
      <c r="I116" s="200">
        <f>SUM((E116*2)+(F116*2))/ 12</f>
        <v/>
      </c>
      <c r="J116" s="331" t="n"/>
      <c r="K116" s="55" t="n"/>
      <c r="L116" s="8" t="n"/>
      <c r="M116" s="466" t="n"/>
      <c r="N116" s="201">
        <f>(K116*E116)+(L116*F116)</f>
        <v/>
      </c>
      <c r="O116" s="10">
        <f>H116*$Q$112</f>
        <v/>
      </c>
    </row>
    <row r="117" ht="14" customHeight="1" s="486">
      <c r="B117" s="207" t="n"/>
      <c r="C117" s="207" t="n"/>
      <c r="D117" s="466" t="inlineStr">
        <is>
          <t>E</t>
        </is>
      </c>
      <c r="E117" s="330" t="n"/>
      <c r="F117" s="330" t="n"/>
      <c r="G117" s="208" t="n"/>
      <c r="H117" s="200">
        <f>SUM(E117*F117)/144</f>
        <v/>
      </c>
      <c r="I117" s="200">
        <f>SUM((E117*2)+(F117*2))/ 12</f>
        <v/>
      </c>
      <c r="J117" s="331" t="n"/>
      <c r="K117" s="55" t="n"/>
      <c r="L117" s="8" t="n"/>
      <c r="M117" s="466" t="n"/>
      <c r="N117" s="201">
        <f>(K117*E117)+(L117*F117)</f>
        <v/>
      </c>
      <c r="O117" s="10">
        <f>H117*$Q$112</f>
        <v/>
      </c>
    </row>
    <row r="118" ht="14" customHeight="1" s="486">
      <c r="B118" s="207" t="n"/>
      <c r="C118" s="207" t="n"/>
      <c r="D118" s="466" t="inlineStr">
        <is>
          <t>F</t>
        </is>
      </c>
      <c r="E118" s="330" t="n"/>
      <c r="F118" s="330" t="n"/>
      <c r="G118" s="208" t="n"/>
      <c r="H118" s="200">
        <f>SUM(E118*F118)/144</f>
        <v/>
      </c>
      <c r="I118" s="200">
        <f>SUM((E118*2)+(F118*2))/ 12</f>
        <v/>
      </c>
      <c r="J118" s="331" t="n"/>
      <c r="K118" s="55" t="n"/>
      <c r="L118" s="8" t="n"/>
      <c r="M118" s="466" t="n"/>
      <c r="N118" s="201">
        <f>(K118*E118)+(L118*F118)</f>
        <v/>
      </c>
      <c r="O118" s="10">
        <f>H118*$Q$112</f>
        <v/>
      </c>
    </row>
    <row r="119" ht="14" customHeight="1" s="486">
      <c r="B119" s="207" t="n"/>
      <c r="C119" s="207" t="n"/>
      <c r="D119" s="466" t="inlineStr">
        <is>
          <t>G</t>
        </is>
      </c>
      <c r="E119" s="330" t="n"/>
      <c r="F119" s="330" t="n"/>
      <c r="G119" s="208" t="n"/>
      <c r="H119" s="200">
        <f>SUM(E119*F119)/144</f>
        <v/>
      </c>
      <c r="I119" s="200">
        <f>SUM((E119*2)+(F119*2))/ 12</f>
        <v/>
      </c>
      <c r="J119" s="331" t="n"/>
      <c r="K119" s="55" t="n"/>
      <c r="L119" s="8" t="n"/>
      <c r="M119" s="466" t="n"/>
      <c r="N119" s="201">
        <f>(K119*E119)+(L119*F119)</f>
        <v/>
      </c>
      <c r="O119" s="10">
        <f>H119*$Q$112</f>
        <v/>
      </c>
    </row>
    <row r="120" ht="14" customHeight="1" s="486">
      <c r="B120" s="207" t="n"/>
      <c r="C120" s="207" t="n"/>
      <c r="D120" s="466" t="inlineStr">
        <is>
          <t>H</t>
        </is>
      </c>
      <c r="E120" s="330" t="n"/>
      <c r="F120" s="330" t="n"/>
      <c r="G120" s="208" t="n"/>
      <c r="H120" s="200">
        <f>SUM(E120*F120)/144</f>
        <v/>
      </c>
      <c r="I120" s="200">
        <f>SUM((E120*2)+(F120*2))/ 12</f>
        <v/>
      </c>
      <c r="J120" s="331" t="n"/>
      <c r="K120" s="55" t="n"/>
      <c r="L120" s="8" t="n"/>
      <c r="M120" s="466" t="n"/>
      <c r="N120" s="201">
        <f>(K120*E120)+(L120*F120)</f>
        <v/>
      </c>
      <c r="O120" s="10">
        <f>H120*$Q$112</f>
        <v/>
      </c>
    </row>
    <row r="121" ht="14" customHeight="1" s="486">
      <c r="B121" s="207" t="n"/>
      <c r="C121" s="207" t="n"/>
      <c r="D121" s="234" t="inlineStr">
        <is>
          <t>I</t>
        </is>
      </c>
      <c r="E121" s="330" t="n"/>
      <c r="F121" s="330" t="n"/>
      <c r="G121" s="208" t="n"/>
      <c r="H121" s="200">
        <f>SUM(E121*F121)/144</f>
        <v/>
      </c>
      <c r="I121" s="200">
        <f>SUM((E121*2)+(F121*2))/ 12</f>
        <v/>
      </c>
      <c r="J121" s="331" t="n"/>
      <c r="K121" s="55" t="n"/>
      <c r="L121" s="8" t="n"/>
      <c r="M121" s="466" t="n"/>
      <c r="N121" s="201">
        <f>(K121*E121)+(L121*F121)</f>
        <v/>
      </c>
      <c r="O121" s="10">
        <f>H121*$Q$112</f>
        <v/>
      </c>
    </row>
    <row r="122" ht="14" customHeight="1" s="486">
      <c r="B122" s="207" t="n"/>
      <c r="C122" s="207" t="n"/>
      <c r="D122" s="234" t="inlineStr">
        <is>
          <t>J</t>
        </is>
      </c>
      <c r="E122" s="330" t="n"/>
      <c r="F122" s="330" t="n"/>
      <c r="G122" s="208" t="n"/>
      <c r="H122" s="200">
        <f>SUM(E122*F122)/144</f>
        <v/>
      </c>
      <c r="I122" s="200">
        <f>SUM((E122*2)+(F122*2))/ 12</f>
        <v/>
      </c>
      <c r="J122" s="331" t="n"/>
      <c r="K122" s="55" t="n"/>
      <c r="L122" s="8" t="n"/>
      <c r="M122" s="466" t="n"/>
      <c r="N122" s="201">
        <f>(K122*E122)+(L122*F122)</f>
        <v/>
      </c>
      <c r="O122" s="10">
        <f>H122*$Q$112</f>
        <v/>
      </c>
    </row>
    <row r="123" ht="14" customHeight="1" s="486">
      <c r="B123" s="6" t="inlineStr">
        <is>
          <t>Totals</t>
        </is>
      </c>
      <c r="C123" s="6" t="n"/>
      <c r="D123" s="466" t="n"/>
      <c r="E123" s="466" t="n"/>
      <c r="F123" s="466" t="n"/>
      <c r="G123" s="466" t="n"/>
      <c r="H123" s="14">
        <f>SUM(H113:H122)</f>
        <v/>
      </c>
      <c r="I123" s="14">
        <f>SUM(I113:I122)</f>
        <v/>
      </c>
      <c r="J123" s="466" t="n"/>
      <c r="K123" s="466" t="n"/>
      <c r="L123" s="466" t="n"/>
      <c r="M123" s="466" t="n"/>
      <c r="N123" s="466">
        <f>SUM(N113:N122)</f>
        <v/>
      </c>
      <c r="O123" s="10">
        <f>SUM(O113:O122)</f>
        <v/>
      </c>
    </row>
    <row r="124" ht="14" customHeight="1" s="486">
      <c r="B124" s="6" t="n"/>
      <c r="C124" s="6" t="n"/>
      <c r="D124" s="466" t="n"/>
      <c r="E124" s="466" t="n"/>
      <c r="F124" s="466" t="n"/>
      <c r="G124" s="466" t="n"/>
      <c r="H124" s="14" t="n"/>
      <c r="I124" s="14" t="n"/>
      <c r="J124" s="466" t="n"/>
      <c r="K124" s="466" t="n"/>
      <c r="L124" s="466" t="n"/>
      <c r="M124" s="466" t="n"/>
      <c r="N124" s="466" t="n"/>
      <c r="O124" s="10" t="n"/>
    </row>
    <row r="125" ht="14" customHeight="1" s="486" thickBot="1">
      <c r="B125" s="160" t="inlineStr">
        <is>
          <t>Proposal Description</t>
        </is>
      </c>
      <c r="C125" s="466" t="inlineStr">
        <is>
          <t>Enter "Y" to select</t>
        </is>
      </c>
      <c r="D125" s="466" t="n"/>
      <c r="E125" s="466" t="n"/>
      <c r="F125" s="466" t="n"/>
      <c r="G125" s="466" t="n"/>
      <c r="H125" s="14" t="n"/>
      <c r="I125" s="14" t="n"/>
      <c r="J125" s="466" t="n"/>
      <c r="K125" s="466" t="n"/>
      <c r="L125" s="466" t="n"/>
      <c r="M125" s="466" t="n"/>
      <c r="N125" s="466" t="n"/>
      <c r="O125" s="10" t="n"/>
    </row>
    <row r="126" ht="14" customHeight="1" s="486">
      <c r="A126" s="209" t="n">
        <v>1</v>
      </c>
      <c r="B126" s="262" t="inlineStr">
        <is>
          <t>Series 1000 Pedestal thermally broken - FA</t>
        </is>
      </c>
      <c r="C126" s="207" t="n"/>
      <c r="D126" s="466" t="n"/>
      <c r="E126" s="466" t="n"/>
      <c r="F126" s="466" t="n"/>
      <c r="G126" s="466" t="n"/>
      <c r="H126" s="14" t="n"/>
      <c r="I126" s="14" t="n"/>
      <c r="J126" s="466" t="n"/>
      <c r="K126" s="466" t="n"/>
      <c r="L126" s="466" t="n"/>
      <c r="M126" s="466" t="n"/>
      <c r="N126" s="466" t="n"/>
      <c r="O126" s="10" t="n"/>
    </row>
    <row r="127" ht="14" customHeight="1" s="486">
      <c r="A127" s="209" t="n">
        <v>2</v>
      </c>
      <c r="B127" s="189" t="inlineStr">
        <is>
          <t>Series 1000 Pedestal thermally broken - KD</t>
        </is>
      </c>
      <c r="C127" s="207" t="n"/>
      <c r="D127" s="466" t="n"/>
      <c r="E127" s="466" t="n"/>
      <c r="F127" s="466" t="n"/>
      <c r="G127" s="466" t="n"/>
      <c r="H127" s="14" t="n"/>
      <c r="I127" s="14" t="n"/>
      <c r="J127" s="466" t="n"/>
      <c r="K127" s="466" t="n"/>
      <c r="L127" s="466" t="n"/>
      <c r="M127" s="466" t="n"/>
      <c r="N127" s="466" t="n"/>
      <c r="O127" s="10" t="n"/>
    </row>
    <row r="128" ht="14" customHeight="1" s="486">
      <c r="A128" s="209" t="n">
        <v>3</v>
      </c>
      <c r="B128" s="189" t="inlineStr">
        <is>
          <t>Series 1000 Recessed thermally broken - FA</t>
        </is>
      </c>
      <c r="C128" s="207" t="n"/>
      <c r="D128" s="466" t="n"/>
      <c r="E128" s="466" t="n"/>
      <c r="F128" s="466" t="n"/>
      <c r="G128" s="466" t="n"/>
      <c r="H128" s="14" t="n"/>
      <c r="I128" s="14" t="n"/>
      <c r="J128" s="466" t="n"/>
      <c r="K128" s="466" t="n"/>
      <c r="L128" s="466" t="n"/>
      <c r="M128" s="466" t="n"/>
      <c r="N128" s="466" t="n"/>
      <c r="O128" s="10" t="n"/>
    </row>
    <row r="129" ht="14" customHeight="1" s="486">
      <c r="A129" s="209" t="n">
        <v>4</v>
      </c>
      <c r="B129" s="189" t="inlineStr">
        <is>
          <t>Series 1000 Recessed thermally broken - KD</t>
        </is>
      </c>
      <c r="C129" s="207" t="n"/>
      <c r="D129" s="466" t="n"/>
      <c r="E129" s="466" t="n"/>
      <c r="F129" s="466" t="n"/>
      <c r="G129" s="466" t="n"/>
      <c r="H129" s="14" t="n"/>
      <c r="I129" s="14" t="n"/>
      <c r="J129" s="466" t="n"/>
      <c r="K129" s="466" t="n"/>
      <c r="L129" s="466" t="n"/>
      <c r="M129" s="466" t="n"/>
      <c r="N129" s="466" t="n"/>
      <c r="O129" s="10" t="n"/>
    </row>
    <row r="130" ht="14" customHeight="1" s="486">
      <c r="A130" s="209" t="n">
        <v>5</v>
      </c>
      <c r="B130" s="189" t="inlineStr">
        <is>
          <t>Series 1000 Recessed interior - FA</t>
        </is>
      </c>
      <c r="C130" s="207" t="n"/>
      <c r="D130" s="466" t="n"/>
      <c r="E130" s="466" t="n"/>
      <c r="F130" s="466" t="n"/>
      <c r="G130" s="466" t="n"/>
      <c r="H130" s="14" t="n"/>
      <c r="I130" s="14" t="n"/>
      <c r="J130" s="466" t="n"/>
      <c r="K130" s="466" t="n"/>
      <c r="L130" s="466" t="n"/>
      <c r="M130" s="466" t="n"/>
      <c r="N130" s="466" t="n"/>
      <c r="O130" s="10" t="n"/>
    </row>
    <row r="131" ht="14" customHeight="1" s="486">
      <c r="A131" s="209" t="n">
        <v>6</v>
      </c>
      <c r="B131" s="189" t="inlineStr">
        <is>
          <t xml:space="preserve">Series 1000 Recessed interior - KD </t>
        </is>
      </c>
      <c r="C131" s="207" t="n"/>
      <c r="D131" s="466" t="n"/>
      <c r="E131" s="466" t="n"/>
      <c r="F131" s="466" t="n"/>
      <c r="G131" s="466" t="n"/>
      <c r="H131" s="14" t="n"/>
      <c r="I131" s="14" t="n"/>
      <c r="J131" s="466" t="n"/>
      <c r="K131" s="466" t="n"/>
      <c r="L131" s="466" t="n"/>
      <c r="M131" s="466" t="n"/>
      <c r="N131" s="466" t="n"/>
      <c r="O131" s="10" t="n"/>
    </row>
    <row r="132" ht="14" customHeight="1" s="486">
      <c r="A132" s="209" t="n">
        <v>7</v>
      </c>
      <c r="B132" s="189" t="inlineStr">
        <is>
          <t>eFrame and Gasket</t>
        </is>
      </c>
      <c r="C132" s="207" t="n"/>
      <c r="D132" s="466" t="n"/>
      <c r="E132" s="466" t="n"/>
      <c r="F132" s="466" t="n"/>
      <c r="G132" s="466" t="n"/>
      <c r="H132" s="14" t="n"/>
      <c r="I132" s="14" t="n"/>
      <c r="J132" s="466" t="n"/>
      <c r="K132" s="466" t="n"/>
      <c r="L132" s="466" t="n"/>
      <c r="M132" s="466" t="n"/>
      <c r="N132" s="466" t="n"/>
      <c r="O132" s="10" t="n"/>
    </row>
    <row r="133" ht="14" customHeight="1" s="486">
      <c r="A133" s="209" t="n">
        <v>8</v>
      </c>
      <c r="B133" s="189" t="inlineStr">
        <is>
          <t>eFrame cut to size</t>
        </is>
      </c>
      <c r="C133" s="207" t="n"/>
      <c r="D133" s="466" t="n"/>
      <c r="E133" s="466" t="n"/>
      <c r="F133" s="466" t="n"/>
      <c r="G133" s="466" t="n"/>
      <c r="H133" s="14" t="n"/>
      <c r="I133" s="14" t="n"/>
      <c r="J133" s="466" t="n"/>
      <c r="K133" s="466" t="n"/>
      <c r="L133" s="466" t="n"/>
      <c r="M133" s="466" t="n"/>
      <c r="N133" s="466" t="n"/>
      <c r="O133" s="10" t="n"/>
    </row>
    <row r="134" ht="14" customHeight="1" s="486">
      <c r="A134" s="209" t="n">
        <v>9</v>
      </c>
      <c r="B134" s="6" t="inlineStr">
        <is>
          <t>Just Glass</t>
        </is>
      </c>
      <c r="C134" s="207" t="n"/>
      <c r="D134" s="466" t="n"/>
      <c r="E134" s="466" t="n"/>
      <c r="F134" s="466" t="n"/>
      <c r="G134" s="466" t="n"/>
      <c r="H134" s="14" t="n"/>
      <c r="I134" s="14" t="n"/>
      <c r="J134" s="466" t="n"/>
      <c r="K134" s="466" t="n"/>
      <c r="L134" s="466" t="n"/>
      <c r="M134" s="466" t="n"/>
      <c r="N134" s="466" t="n"/>
      <c r="O134" s="10" t="n"/>
    </row>
    <row r="135" ht="14" customHeight="1" s="486">
      <c r="A135" s="209" t="n">
        <v>10</v>
      </c>
      <c r="B135" s="189" t="inlineStr">
        <is>
          <t>Stair Treads with post lami polish</t>
        </is>
      </c>
      <c r="C135" s="207" t="n"/>
      <c r="D135" s="466" t="n"/>
      <c r="E135" s="466" t="n"/>
      <c r="F135" s="466" t="n"/>
      <c r="G135" s="466" t="n"/>
      <c r="H135" s="14" t="n"/>
      <c r="I135" s="14" t="n"/>
      <c r="J135" s="466" t="n"/>
      <c r="K135" s="466" t="n"/>
      <c r="L135" s="466" t="n"/>
      <c r="M135" s="466" t="n"/>
      <c r="N135" s="466" t="n"/>
      <c r="O135" s="10" t="n"/>
    </row>
    <row r="136" ht="14" customHeight="1" s="486">
      <c r="A136" s="223" t="n">
        <v>11</v>
      </c>
      <c r="B136" s="6" t="inlineStr">
        <is>
          <t>Deck</t>
        </is>
      </c>
      <c r="C136" s="207" t="n"/>
      <c r="D136" s="466" t="n"/>
      <c r="E136" s="466" t="n"/>
      <c r="F136" s="466" t="n"/>
      <c r="G136" s="466" t="n"/>
      <c r="H136" s="14" t="n"/>
      <c r="I136" s="14" t="n"/>
      <c r="J136" s="466" t="n"/>
      <c r="K136" s="466" t="n"/>
      <c r="L136" s="466" t="n"/>
      <c r="M136" s="466" t="n"/>
      <c r="N136" s="466" t="n"/>
      <c r="O136" s="10" t="n"/>
    </row>
    <row r="137" ht="14" customHeight="1" s="486">
      <c r="A137" s="223" t="n">
        <v>12</v>
      </c>
      <c r="B137" s="262" t="inlineStr">
        <is>
          <t>Series 2000 Pedestal thermally broken - FA</t>
        </is>
      </c>
      <c r="C137" s="207" t="n"/>
      <c r="D137" s="466" t="n"/>
      <c r="E137" s="466" t="n"/>
      <c r="F137" s="466" t="n"/>
      <c r="G137" s="466" t="n"/>
      <c r="H137" s="14" t="n"/>
      <c r="I137" s="14" t="n"/>
      <c r="J137" s="466" t="n"/>
      <c r="K137" s="466" t="n"/>
      <c r="L137" s="466" t="n"/>
      <c r="M137" s="466" t="n"/>
      <c r="N137" s="466" t="n"/>
      <c r="O137" s="10" t="n"/>
    </row>
    <row r="138" ht="14" customHeight="1" s="486">
      <c r="A138" s="223" t="n">
        <v>13</v>
      </c>
      <c r="B138" s="189" t="inlineStr">
        <is>
          <t>Series 2000 Pedestal thermally broken - KD</t>
        </is>
      </c>
      <c r="C138" s="207" t="n"/>
      <c r="D138" s="466" t="n"/>
      <c r="E138" s="466" t="n"/>
      <c r="F138" s="466" t="n"/>
      <c r="G138" s="466" t="n"/>
      <c r="H138" s="14" t="n"/>
      <c r="I138" s="14" t="n"/>
      <c r="J138" s="466" t="n"/>
      <c r="K138" s="466" t="n"/>
      <c r="L138" s="466" t="n"/>
      <c r="M138" s="466" t="n"/>
      <c r="N138" s="466" t="n"/>
      <c r="O138" s="10" t="n"/>
    </row>
    <row r="139" ht="14" customHeight="1" s="486">
      <c r="A139" s="223" t="n">
        <v>14</v>
      </c>
      <c r="B139" s="189" t="inlineStr">
        <is>
          <t>Series 2000 Recessed thermally broken - FA</t>
        </is>
      </c>
      <c r="C139" s="207" t="n"/>
      <c r="D139" s="466" t="n"/>
      <c r="E139" s="466" t="n"/>
      <c r="F139" s="466" t="n"/>
      <c r="G139" s="466" t="n"/>
      <c r="H139" s="14" t="n"/>
      <c r="I139" s="14" t="n"/>
      <c r="J139" s="466" t="n"/>
      <c r="K139" s="466" t="n"/>
      <c r="L139" s="466" t="n"/>
      <c r="M139" s="466" t="n"/>
      <c r="N139" s="466" t="n"/>
      <c r="O139" s="10" t="n"/>
    </row>
    <row r="140" ht="14" customHeight="1" s="486">
      <c r="A140" s="223" t="n">
        <v>15</v>
      </c>
      <c r="B140" s="189" t="inlineStr">
        <is>
          <t>Series 2000 Recessed thermally broken - KD</t>
        </is>
      </c>
      <c r="C140" s="207" t="n"/>
      <c r="D140" s="466" t="n"/>
      <c r="E140" s="466" t="n"/>
      <c r="F140" s="466" t="n"/>
      <c r="G140" s="466" t="n"/>
      <c r="H140" s="14" t="n"/>
      <c r="I140" s="14" t="n"/>
      <c r="J140" s="466" t="n"/>
      <c r="K140" s="466" t="n"/>
      <c r="L140" s="466" t="n"/>
      <c r="M140" s="466" t="n"/>
      <c r="N140" s="466" t="n"/>
      <c r="O140" s="10" t="n"/>
    </row>
    <row r="141" ht="14" customHeight="1" s="486">
      <c r="B141" s="6" t="n"/>
      <c r="C141" s="466" t="n"/>
      <c r="D141" s="466" t="n"/>
      <c r="E141" s="466" t="n"/>
      <c r="F141" s="466" t="n"/>
      <c r="G141" s="466" t="n"/>
      <c r="H141" s="466" t="n"/>
      <c r="I141" s="466" t="n"/>
      <c r="J141" s="466" t="n"/>
      <c r="K141" s="466" t="n"/>
      <c r="L141" s="466" t="n"/>
      <c r="M141" s="466" t="n"/>
      <c r="N141" s="466" t="n"/>
      <c r="O141" s="466" t="n"/>
    </row>
    <row r="142" ht="14" customHeight="1" s="486">
      <c r="B142" s="27" t="inlineStr">
        <is>
          <t>Convert mm to inches</t>
        </is>
      </c>
      <c r="C142" s="28" t="n"/>
      <c r="D142" s="428" t="n"/>
      <c r="E142" s="605" t="inlineStr">
        <is>
          <t>Millimeters</t>
        </is>
      </c>
      <c r="F142" s="433" t="n"/>
      <c r="G142" s="29" t="n"/>
      <c r="H142" s="605" t="inlineStr">
        <is>
          <t>Inches</t>
        </is>
      </c>
      <c r="I142" s="433" t="n"/>
      <c r="J142" s="429" t="n"/>
      <c r="K142" s="429" t="n"/>
      <c r="L142" s="466" t="n"/>
      <c r="M142" s="466" t="n"/>
      <c r="N142" s="466" t="n"/>
      <c r="O142" s="466" t="n"/>
    </row>
    <row r="143" ht="14" customHeight="1" s="486">
      <c r="B143" s="6" t="n"/>
      <c r="C143" s="6" t="n"/>
      <c r="D143" s="466" t="n"/>
      <c r="E143" s="466" t="inlineStr">
        <is>
          <t>width</t>
        </is>
      </c>
      <c r="F143" s="466" t="inlineStr">
        <is>
          <t>length</t>
        </is>
      </c>
      <c r="G143" s="466" t="n"/>
      <c r="H143" s="466" t="inlineStr">
        <is>
          <t>width</t>
        </is>
      </c>
      <c r="I143" s="466" t="inlineStr">
        <is>
          <t>length</t>
        </is>
      </c>
      <c r="J143" s="466" t="n"/>
      <c r="K143" s="466" t="n"/>
      <c r="L143" s="466" t="n"/>
      <c r="M143" s="466" t="n"/>
      <c r="N143" s="466" t="n"/>
      <c r="O143" s="466" t="n"/>
    </row>
    <row r="144" ht="14" customHeight="1" s="486">
      <c r="B144" s="6" t="inlineStr">
        <is>
          <t xml:space="preserve">Unit 1 </t>
        </is>
      </c>
      <c r="C144" s="6" t="n"/>
      <c r="D144" s="466" t="n"/>
      <c r="E144" s="8" t="n"/>
      <c r="F144" s="8" t="n"/>
      <c r="G144" s="8" t="n"/>
      <c r="H144" s="14">
        <f>CONVERT(E144, "mm", "in")</f>
        <v/>
      </c>
      <c r="I144" s="14">
        <f>CONVERT(F144, "mm", "in")</f>
        <v/>
      </c>
      <c r="J144" s="14" t="n"/>
      <c r="K144" s="14" t="n"/>
      <c r="L144" s="466" t="n"/>
      <c r="M144" s="10" t="n"/>
      <c r="N144" s="10" t="n"/>
      <c r="O144" s="466" t="n"/>
    </row>
    <row r="145" ht="14" customHeight="1" s="486">
      <c r="B145" s="6" t="inlineStr">
        <is>
          <t xml:space="preserve">Unit 2 </t>
        </is>
      </c>
      <c r="C145" s="6" t="n"/>
      <c r="D145" s="466" t="n"/>
      <c r="E145" s="8" t="n"/>
      <c r="F145" s="8" t="n"/>
      <c r="G145" s="8" t="n"/>
      <c r="H145" s="14">
        <f>CONVERT(E145, "mm", "in")</f>
        <v/>
      </c>
      <c r="I145" s="14">
        <f>CONVERT(F145, "mm", "in")</f>
        <v/>
      </c>
      <c r="J145" s="14" t="n"/>
      <c r="K145" s="14" t="n"/>
      <c r="L145" s="466" t="n"/>
      <c r="M145" s="10" t="n"/>
      <c r="N145" s="10" t="n"/>
      <c r="O145" s="466" t="n"/>
    </row>
    <row r="146" ht="14" customHeight="1" s="486">
      <c r="B146" s="6" t="inlineStr">
        <is>
          <t>Unit 3</t>
        </is>
      </c>
      <c r="C146" s="6" t="n"/>
      <c r="D146" s="466" t="n"/>
      <c r="E146" s="8" t="n"/>
      <c r="F146" s="8" t="n"/>
      <c r="G146" s="8" t="n"/>
      <c r="H146" s="14">
        <f>CONVERT(E146, "mm", "in")</f>
        <v/>
      </c>
      <c r="I146" s="14">
        <f>CONVERT(F146, "mm", "in")</f>
        <v/>
      </c>
      <c r="J146" s="14" t="n"/>
      <c r="K146" s="14" t="n"/>
      <c r="L146" s="466" t="n"/>
      <c r="M146" s="10" t="n"/>
      <c r="N146" s="10" t="n"/>
      <c r="O146" s="466" t="n"/>
    </row>
    <row r="147" ht="14" customHeight="1" s="486">
      <c r="B147" s="6" t="inlineStr">
        <is>
          <t>Unit 4</t>
        </is>
      </c>
      <c r="C147" s="6" t="n"/>
      <c r="D147" s="466" t="n"/>
      <c r="E147" s="8" t="n"/>
      <c r="F147" s="8" t="n"/>
      <c r="G147" s="8" t="n"/>
      <c r="H147" s="14">
        <f>CONVERT(E147, "mm", "in")</f>
        <v/>
      </c>
      <c r="I147" s="14">
        <f>CONVERT(F147, "mm", "in")</f>
        <v/>
      </c>
      <c r="J147" s="14" t="n"/>
      <c r="K147" s="14" t="n"/>
      <c r="L147" s="466" t="n"/>
      <c r="M147" s="466" t="n"/>
      <c r="N147" s="466" t="n"/>
      <c r="O147" s="466" t="n"/>
    </row>
    <row r="148" ht="14" customHeight="1" s="486">
      <c r="B148" s="6" t="inlineStr">
        <is>
          <t>Totals</t>
        </is>
      </c>
      <c r="C148" s="6" t="n"/>
      <c r="D148" s="466" t="n"/>
      <c r="E148" s="466" t="n"/>
      <c r="F148" s="466" t="n"/>
      <c r="G148" s="466" t="n"/>
      <c r="H148" s="466" t="n"/>
      <c r="I148" s="466" t="n"/>
      <c r="J148" s="466" t="n"/>
      <c r="K148" s="466" t="n"/>
      <c r="L148" s="466" t="n"/>
      <c r="M148" s="466" t="n"/>
      <c r="N148" s="466" t="n"/>
      <c r="O148" s="466" t="n"/>
    </row>
    <row r="149" ht="14" customHeight="1" s="486">
      <c r="B149" s="6" t="n"/>
      <c r="C149" s="6" t="n"/>
      <c r="D149" s="466" t="n"/>
      <c r="E149" s="466" t="n"/>
      <c r="F149" s="466" t="n"/>
      <c r="G149" s="466" t="n"/>
      <c r="H149" s="466" t="n"/>
      <c r="I149" s="466" t="n"/>
      <c r="J149" s="466" t="n"/>
      <c r="K149" s="466" t="n"/>
      <c r="L149" s="466" t="n"/>
      <c r="M149" s="606" t="n"/>
      <c r="N149" s="606" t="n"/>
      <c r="O149" s="10" t="n"/>
    </row>
    <row r="150" ht="14" customHeight="1" s="486">
      <c r="B150" s="44" t="n"/>
      <c r="C150" s="538" t="inlineStr">
        <is>
          <t>Lbs.</t>
        </is>
      </c>
      <c r="E150" s="538" t="n"/>
      <c r="F150" s="538" t="n"/>
      <c r="G150" s="538" t="n"/>
      <c r="H150" s="538" t="n"/>
      <c r="I150" s="538" t="n"/>
      <c r="J150" s="538" t="n"/>
    </row>
    <row r="151" ht="14" customHeight="1" s="486" thickBot="1">
      <c r="B151" s="6" t="inlineStr">
        <is>
          <t>Glass without IGU</t>
        </is>
      </c>
      <c r="C151" s="466" t="n">
        <v>15</v>
      </c>
      <c r="F151" s="94" t="inlineStr">
        <is>
          <t>Feet</t>
        </is>
      </c>
      <c r="G151" s="93" t="n"/>
      <c r="H151" s="93" t="inlineStr">
        <is>
          <t>Inches</t>
        </is>
      </c>
      <c r="I151" s="93" t="inlineStr">
        <is>
          <t>Total Inches</t>
        </is>
      </c>
    </row>
    <row r="152" ht="14" customHeight="1" s="486" thickTop="1">
      <c r="B152" s="6" t="inlineStr">
        <is>
          <t>Glass with IGU</t>
        </is>
      </c>
      <c r="C152" s="466" t="n">
        <v>20</v>
      </c>
      <c r="F152" s="538" t="n">
        <v>3</v>
      </c>
      <c r="G152" s="538" t="inlineStr">
        <is>
          <t>+</t>
        </is>
      </c>
      <c r="H152" s="538" t="n">
        <v>8</v>
      </c>
      <c r="I152" s="538">
        <f>SUM((F152*12)+H152)</f>
        <v/>
      </c>
    </row>
    <row r="153" ht="18" customHeight="1" s="486">
      <c r="B153" s="6" t="inlineStr">
        <is>
          <t>Glass Series 2000</t>
        </is>
      </c>
      <c r="C153" s="466" t="n">
        <v>21</v>
      </c>
      <c r="E153" s="538" t="n"/>
      <c r="F153" s="538" t="n">
        <v>4</v>
      </c>
      <c r="G153" s="538" t="inlineStr">
        <is>
          <t>+</t>
        </is>
      </c>
      <c r="H153" s="538" t="n">
        <v>8</v>
      </c>
      <c r="I153" s="538">
        <f>SUM((F153*12)+H153)</f>
        <v/>
      </c>
    </row>
    <row r="154" ht="18" customHeight="1" s="486">
      <c r="B154" s="6" t="n"/>
      <c r="C154" s="466" t="n"/>
      <c r="F154" s="538" t="n"/>
      <c r="G154" s="538" t="inlineStr">
        <is>
          <t>+</t>
        </is>
      </c>
      <c r="H154" s="538" t="n"/>
      <c r="I154" s="538">
        <f>SUM((F154*12)+H154)</f>
        <v/>
      </c>
    </row>
    <row r="155" ht="18" customHeight="1" s="486">
      <c r="F155" s="538" t="n"/>
      <c r="G155" s="538" t="n"/>
      <c r="H155" s="538" t="n"/>
      <c r="I155" s="538" t="n"/>
    </row>
    <row r="156" ht="18" customHeight="1" s="486">
      <c r="F156" s="538" t="n"/>
      <c r="G156" s="538" t="n"/>
      <c r="H156" s="538" t="n"/>
      <c r="I156" s="538" t="n"/>
    </row>
    <row r="157" ht="18" customHeight="1" s="486">
      <c r="F157" s="538" t="n"/>
      <c r="G157" s="538" t="n"/>
      <c r="H157" s="538" t="n"/>
      <c r="I157" s="538" t="n"/>
    </row>
  </sheetData>
  <mergeCells count="17">
    <mergeCell ref="B110:O110"/>
    <mergeCell ref="J6:L6"/>
    <mergeCell ref="Y6:AA6"/>
    <mergeCell ref="S6:U6"/>
    <mergeCell ref="N3:O3"/>
    <mergeCell ref="G6:I6"/>
    <mergeCell ref="N2:O2"/>
    <mergeCell ref="H142:I142"/>
    <mergeCell ref="E142:F142"/>
    <mergeCell ref="B5:AI5"/>
    <mergeCell ref="D6:F6"/>
    <mergeCell ref="V6:X6"/>
    <mergeCell ref="K111:L111"/>
    <mergeCell ref="M6:O6"/>
    <mergeCell ref="AB6:AD6"/>
    <mergeCell ref="P6:R6"/>
    <mergeCell ref="AE6:AG6"/>
  </mergeCells>
  <dataValidations disablePrompts="1" count="1">
    <dataValidation sqref="C4" showDropDown="0" showInputMessage="1" showErrorMessage="1" allowBlank="0" type="list">
      <formula1>$R$2:$R$3</formula1>
    </dataValidation>
  </dataValidations>
  <hyperlinks>
    <hyperlink xmlns:r="http://schemas.openxmlformats.org/officeDocument/2006/relationships" ref="L3" r:id="rId1"/>
  </hyperlinks>
  <pageMargins left="0" right="0" top="0.25" bottom="0.25" header="0.5" footer="0.5"/>
  <pageSetup orientation="portrait" paperSize="5" scale="60" horizontalDpi="4294967292" verticalDpi="4294967292"/>
  <rowBreaks count="1" manualBreakCount="1">
    <brk id="111" min="0" max="16383" man="1"/>
  </rowBreaks>
  <colBreaks count="2" manualBreakCount="2">
    <brk id="12" min="0" max="1048575" man="1"/>
    <brk id="35" min="0" max="1048575" man="1"/>
  </colBreaks>
  <legacyDrawing xmlns:r="http://schemas.openxmlformats.org/officeDocument/2006/relationships" r:id="anysvml"/>
</worksheet>
</file>

<file path=xl/worksheets/sheet2.xml><?xml version="1.0" encoding="utf-8"?>
<worksheet xmlns="http://schemas.openxmlformats.org/spreadsheetml/2006/main">
  <sheetPr codeName="Sheet4">
    <outlinePr summaryBelow="1" summaryRight="1"/>
    <pageSetUpPr fitToPage="1"/>
  </sheetPr>
  <dimension ref="A1:V192"/>
  <sheetViews>
    <sheetView tabSelected="1" view="pageBreakPreview" zoomScale="130" zoomScaleNormal="150" zoomScaleSheetLayoutView="130" zoomScalePageLayoutView="110" workbookViewId="0">
      <selection activeCell="H8" sqref="H8"/>
    </sheetView>
  </sheetViews>
  <sheetFormatPr baseColWidth="10" defaultColWidth="9.1640625" defaultRowHeight="13"/>
  <cols>
    <col width="3" customWidth="1" style="440" min="1" max="1"/>
    <col width="8.33203125" customWidth="1" style="440" min="2" max="2"/>
    <col width="9.33203125" customWidth="1" style="265" min="3" max="3"/>
    <col width="11.33203125" bestFit="1" customWidth="1" style="265" min="4" max="4"/>
    <col width="17" customWidth="1" style="265" min="5" max="5"/>
    <col width="8.33203125" customWidth="1" style="265" min="6" max="6"/>
    <col width="4.6640625" customWidth="1" style="265" min="7" max="7"/>
    <col width="8.33203125" customWidth="1" style="265" min="8" max="8"/>
    <col width="4.83203125" customWidth="1" style="440" min="9" max="9"/>
    <col width="13" customWidth="1" style="440" min="10" max="10"/>
    <col width="40.83203125" customWidth="1" style="440" min="11" max="11"/>
    <col width="9.1640625" customWidth="1" style="440" min="12" max="12"/>
    <col width="10.83203125" bestFit="1" customWidth="1" style="440" min="13" max="13"/>
    <col width="9.1640625" customWidth="1" style="440" min="14" max="16384"/>
  </cols>
  <sheetData>
    <row r="1" ht="14" customHeight="1" s="486">
      <c r="C1" s="264" t="n"/>
      <c r="D1" s="435" t="n"/>
      <c r="E1" s="435" t="n"/>
      <c r="F1" s="435" t="n"/>
      <c r="G1" s="435" t="n"/>
    </row>
    <row r="2" ht="14" customHeight="1" s="486">
      <c r="C2" s="448" t="n"/>
      <c r="D2" s="99" t="n"/>
      <c r="E2" s="448" t="n"/>
      <c r="F2" s="448" t="n"/>
      <c r="G2" s="448" t="n"/>
      <c r="J2" s="267" t="inlineStr">
        <is>
          <t>Proposal #</t>
        </is>
      </c>
      <c r="K2" s="314">
        <f>'Pricing Worksheet'!I2</f>
        <v/>
      </c>
    </row>
    <row r="3" ht="14" customHeight="1" s="486">
      <c r="C3" s="448" t="n"/>
      <c r="D3" s="99" t="n"/>
      <c r="E3" s="448" t="n"/>
      <c r="F3" s="448" t="n"/>
      <c r="G3" s="448" t="n"/>
      <c r="J3" s="267" t="inlineStr">
        <is>
          <t>Date:</t>
        </is>
      </c>
      <c r="K3" s="268">
        <f>TODAY()</f>
        <v/>
      </c>
    </row>
    <row r="4" ht="14" customHeight="1" s="486">
      <c r="C4" s="449" t="n"/>
      <c r="D4" s="99" t="n"/>
      <c r="E4" s="449" t="n"/>
      <c r="F4" s="449" t="n"/>
      <c r="G4" s="449" t="n"/>
      <c r="J4" s="267" t="inlineStr">
        <is>
          <t>Project Name:</t>
        </is>
      </c>
      <c r="K4" s="269">
        <f>'Pricing Worksheet'!C2</f>
        <v/>
      </c>
    </row>
    <row r="5" ht="14" customHeight="1" s="486">
      <c r="D5" s="436" t="n"/>
      <c r="E5" s="436" t="n"/>
      <c r="F5" s="436" t="n"/>
      <c r="G5" s="436" t="n"/>
      <c r="I5" s="443" t="n"/>
      <c r="J5" s="267" t="inlineStr">
        <is>
          <t>Project Address:</t>
        </is>
      </c>
      <c r="K5" s="269">
        <f>'Pricing Worksheet'!F2</f>
        <v/>
      </c>
    </row>
    <row r="6" ht="14" customHeight="1" s="486">
      <c r="D6" s="436" t="n"/>
      <c r="E6" s="436" t="n"/>
      <c r="F6" s="436" t="n"/>
      <c r="G6" s="436" t="n"/>
      <c r="I6" s="443" t="n"/>
      <c r="J6" s="267" t="inlineStr">
        <is>
          <t>Project Type:</t>
        </is>
      </c>
      <c r="K6" s="269">
        <f>'Pricing Worksheet'!C4</f>
        <v/>
      </c>
    </row>
    <row r="7" ht="14" customHeight="1" s="486">
      <c r="C7" s="271" t="n"/>
      <c r="D7" s="436" t="n"/>
      <c r="E7" s="436" t="n"/>
      <c r="F7" s="436" t="n"/>
      <c r="G7" s="436" t="n"/>
      <c r="I7" s="306" t="n"/>
      <c r="J7" s="270" t="inlineStr">
        <is>
          <t>Architect:</t>
        </is>
      </c>
      <c r="K7" s="456">
        <f>'Pricing Worksheet'!F4</f>
        <v/>
      </c>
    </row>
    <row r="8" ht="14" customHeight="1" s="486">
      <c r="C8" s="440" t="n"/>
      <c r="D8" s="456" t="n"/>
      <c r="E8" s="456" t="n"/>
      <c r="F8" s="456" t="n"/>
      <c r="G8" s="456" t="n"/>
      <c r="J8" s="267" t="inlineStr">
        <is>
          <t>Contact:</t>
        </is>
      </c>
      <c r="K8" s="269">
        <f>'Pricing Worksheet'!C3</f>
        <v/>
      </c>
    </row>
    <row r="9" ht="14" customHeight="1" s="486">
      <c r="F9" s="274" t="n"/>
      <c r="G9" s="274" t="n"/>
      <c r="H9" s="275" t="n"/>
      <c r="I9" s="276" t="n"/>
      <c r="J9" s="272" t="inlineStr">
        <is>
          <t>Phone:</t>
        </is>
      </c>
      <c r="K9" s="607">
        <f>'Pricing Worksheet'!I3</f>
        <v/>
      </c>
    </row>
    <row r="10" ht="14" customHeight="1" s="486">
      <c r="B10" s="271" t="inlineStr">
        <is>
          <t>6 Aaron Way, Sparta, NJ 07871  O - 862-701-5320</t>
        </is>
      </c>
      <c r="D10" s="274" t="n"/>
      <c r="E10" s="274" t="n"/>
      <c r="J10" s="272" t="inlineStr">
        <is>
          <t>Email:</t>
        </is>
      </c>
      <c r="K10" s="269">
        <f>'Pricing Worksheet'!L3</f>
        <v/>
      </c>
    </row>
    <row r="11" ht="14" customHeight="1" s="486">
      <c r="B11" s="323" t="inlineStr">
        <is>
          <t>www.glassflooringsystems.com</t>
        </is>
      </c>
      <c r="J11" s="272" t="inlineStr">
        <is>
          <t>Quoted By:</t>
        </is>
      </c>
      <c r="K11" s="269">
        <f>'Pricing Worksheet'!L2</f>
        <v/>
      </c>
    </row>
    <row r="12" ht="14" customHeight="1" s="486">
      <c r="B12" s="277" t="n"/>
      <c r="C12" s="278" t="n"/>
      <c r="D12" s="278" t="n"/>
      <c r="E12" s="278" t="n"/>
      <c r="F12" s="278" t="n"/>
      <c r="G12" s="278" t="n"/>
      <c r="H12" s="278" t="n"/>
      <c r="I12" s="277" t="n"/>
      <c r="J12" s="277" t="n"/>
      <c r="K12" s="277" t="n"/>
    </row>
    <row r="13" ht="13" customHeight="1" s="486">
      <c r="C13" s="440" t="n"/>
      <c r="D13" s="440" t="n"/>
      <c r="E13" s="440" t="n"/>
      <c r="F13" s="440" t="n"/>
      <c r="G13" s="440" t="n"/>
      <c r="H13" s="440" t="n"/>
    </row>
    <row r="14" ht="65" customHeight="1" s="486">
      <c r="B14" s="444" t="inlineStr">
        <is>
          <t xml:space="preserve">Thank you for your interest in Glass Flooring Systems. The following quote is for (1 Qty.) 18" x 30" Series 1000 SkyFloor® walkable skylight. This are complete systems which consist of our proprietary structural, thermally broken, recessed perimeter framing (modified rear flange removal on all sides) with integrated setting gaskets, perimeter LED lighting channel and one (1) structural walkable glass panel with tested anti-slip top layer. Framing to arrive fully welded, glazing to be performed on site - by others. The make-up of the glass panel is listed below. Please review and let us know if you have any questions or require additional information. </t>
        </is>
      </c>
      <c r="C14" s="99" t="n"/>
      <c r="D14" s="99" t="n"/>
      <c r="E14" s="99" t="n"/>
      <c r="F14" s="99" t="n"/>
      <c r="G14" s="99" t="n"/>
      <c r="H14" s="99" t="n"/>
      <c r="I14" s="99" t="n"/>
      <c r="J14" s="99" t="n"/>
      <c r="K14" s="99" t="n"/>
    </row>
    <row r="15" ht="13" customHeight="1" s="486">
      <c r="B15" s="459" t="n"/>
      <c r="C15" s="442" t="n"/>
      <c r="D15" s="442" t="n"/>
      <c r="E15" s="442" t="n"/>
      <c r="F15" s="442" t="n"/>
      <c r="G15" s="442" t="n"/>
      <c r="H15" s="442" t="n"/>
      <c r="I15" s="442" t="n"/>
      <c r="J15" s="442" t="n"/>
      <c r="K15" s="442" t="n"/>
    </row>
    <row r="16" hidden="1" s="486">
      <c r="B16" s="444" t="inlineStr">
        <is>
          <t>Once you receive your SkyFloor® system all that is required for installation is three simple steps.</t>
        </is>
      </c>
      <c r="C16" s="99" t="n"/>
      <c r="D16" s="99" t="n"/>
      <c r="E16" s="99" t="n"/>
      <c r="F16" s="99" t="n"/>
      <c r="G16" s="99" t="n"/>
      <c r="H16" s="99" t="n"/>
      <c r="I16" s="99" t="n"/>
      <c r="J16" s="99" t="n"/>
      <c r="K16" s="99" t="n"/>
    </row>
    <row r="17" hidden="1" s="486">
      <c r="B17" s="447" t="inlineStr">
        <is>
          <t>1. Set assembled SkyFloor® system at prepared opening.</t>
        </is>
      </c>
      <c r="C17" s="99" t="n"/>
      <c r="D17" s="99" t="n"/>
      <c r="E17" s="99" t="n"/>
      <c r="F17" s="99" t="n"/>
      <c r="G17" s="99" t="n"/>
      <c r="H17" s="99" t="n"/>
      <c r="I17" s="99" t="n"/>
      <c r="J17" s="99" t="n"/>
      <c r="K17" s="442" t="n"/>
    </row>
    <row r="18" hidden="1" ht="13" customHeight="1" s="486">
      <c r="B18" s="447" t="inlineStr">
        <is>
          <t>2. Secure assembled SkyFloor® system at prepared opening.</t>
        </is>
      </c>
      <c r="C18" s="99" t="n"/>
      <c r="D18" s="99" t="n"/>
      <c r="E18" s="99" t="n"/>
      <c r="F18" s="99" t="n"/>
      <c r="G18" s="99" t="n"/>
      <c r="H18" s="99" t="n"/>
      <c r="I18" s="99" t="n"/>
      <c r="J18" s="99" t="n"/>
      <c r="K18" s="442" t="n"/>
    </row>
    <row r="19" hidden="1" ht="15" customHeight="1" s="486">
      <c r="B19" s="447" t="inlineStr">
        <is>
          <t>3. Complete field waterproofing.</t>
        </is>
      </c>
      <c r="C19" s="99" t="n"/>
      <c r="D19" s="99" t="n"/>
      <c r="E19" s="99" t="n"/>
      <c r="F19" s="99" t="n"/>
      <c r="G19" s="99" t="n"/>
      <c r="H19" s="99" t="n"/>
      <c r="I19" s="99" t="n"/>
      <c r="J19" s="99" t="n"/>
      <c r="K19" s="442" t="n"/>
    </row>
    <row r="20" hidden="1" ht="11" customHeight="1" s="486"/>
    <row r="21">
      <c r="B21" s="279" t="inlineStr">
        <is>
          <t>Glass Flooring Systems to supply as follows:</t>
        </is>
      </c>
      <c r="C21" s="440" t="n"/>
      <c r="D21" s="280" t="n"/>
      <c r="E21" s="280" t="n"/>
      <c r="F21" s="280" t="n"/>
      <c r="G21" s="280" t="n"/>
      <c r="H21" s="608" t="n"/>
      <c r="I21" s="282" t="n"/>
    </row>
    <row r="22" ht="28" customFormat="1" customHeight="1" s="454">
      <c r="B22" s="450" t="inlineStr">
        <is>
          <t>Unit</t>
        </is>
      </c>
      <c r="C22" s="283" t="inlineStr">
        <is>
          <t>Drawing</t>
        </is>
      </c>
      <c r="D22" s="284" t="inlineStr">
        <is>
          <t>Drawing Date</t>
        </is>
      </c>
      <c r="E22" s="284" t="inlineStr">
        <is>
          <t>Location</t>
        </is>
      </c>
      <c r="F22" s="609" t="inlineStr">
        <is>
          <t>Exposed Frame Dimension (inches)</t>
        </is>
      </c>
      <c r="G22" s="99" t="n"/>
      <c r="H22" s="99" t="n"/>
      <c r="I22" s="285" t="n"/>
      <c r="J22" s="450" t="inlineStr">
        <is>
          <t>Description</t>
        </is>
      </c>
      <c r="K22" s="99" t="n"/>
    </row>
    <row r="23" ht="65" customFormat="1" customHeight="1" s="276">
      <c r="B23" s="340">
        <f>'Pricing Worksheet'!D113</f>
        <v/>
      </c>
      <c r="C23" s="437">
        <f>'Pricing Worksheet'!C113</f>
        <v/>
      </c>
      <c r="D23" s="341" t="inlineStr">
        <is>
          <t>9.27.24</t>
        </is>
      </c>
      <c r="E23" s="437">
        <f>'Pricing Worksheet'!B113</f>
        <v/>
      </c>
      <c r="F23" s="320">
        <f>'Pricing Worksheet'!E113</f>
        <v/>
      </c>
      <c r="G23" s="287" t="inlineStr">
        <is>
          <t>x</t>
        </is>
      </c>
      <c r="H23" s="320">
        <f>'Pricing Worksheet'!F113</f>
        <v/>
      </c>
      <c r="I23" s="437" t="inlineStr">
        <is>
          <t xml:space="preserve">(1 Qty.) 18" x 30" Series 1000 SkyFloor® walkable skylight - consisting of one (1) glass panel </t>
        </is>
      </c>
      <c r="J23" s="99" t="n"/>
      <c r="K23" s="99" t="n"/>
    </row>
    <row r="24" hidden="1" ht="26" customHeight="1" s="486">
      <c r="B24" s="340">
        <f>'Pricing Worksheet'!D114</f>
        <v/>
      </c>
      <c r="C24" s="437">
        <f>'Pricing Worksheet'!C114</f>
        <v/>
      </c>
      <c r="D24" s="341" t="n"/>
      <c r="E24" s="437">
        <f>'Pricing Worksheet'!B114</f>
        <v/>
      </c>
      <c r="F24" s="320">
        <f>'Pricing Worksheet'!E114</f>
        <v/>
      </c>
      <c r="G24" s="287" t="inlineStr">
        <is>
          <t>x</t>
        </is>
      </c>
      <c r="H24" s="320">
        <f>'Pricing Worksheet'!F114</f>
        <v/>
      </c>
      <c r="I24" s="282" t="n"/>
      <c r="J24" s="437" t="inlineStr">
        <is>
          <t>Description</t>
        </is>
      </c>
      <c r="K24" s="99" t="n"/>
    </row>
    <row r="25" hidden="1" ht="26" customHeight="1" s="486">
      <c r="B25" s="340">
        <f>'Pricing Worksheet'!D115</f>
        <v/>
      </c>
      <c r="C25" s="437">
        <f>'Pricing Worksheet'!C115</f>
        <v/>
      </c>
      <c r="D25" s="341" t="n"/>
      <c r="E25" s="437">
        <f>'Pricing Worksheet'!B115</f>
        <v/>
      </c>
      <c r="F25" s="320">
        <f>'Pricing Worksheet'!E115</f>
        <v/>
      </c>
      <c r="G25" s="287" t="inlineStr">
        <is>
          <t>x</t>
        </is>
      </c>
      <c r="H25" s="320">
        <f>'Pricing Worksheet'!F115</f>
        <v/>
      </c>
      <c r="I25" s="282" t="n"/>
      <c r="J25" s="437" t="inlineStr">
        <is>
          <t>Description</t>
        </is>
      </c>
      <c r="K25" s="99" t="n"/>
    </row>
    <row r="26" hidden="1" ht="26" customHeight="1" s="486">
      <c r="B26" s="340">
        <f>'Pricing Worksheet'!D116</f>
        <v/>
      </c>
      <c r="C26" s="437">
        <f>'Pricing Worksheet'!C116</f>
        <v/>
      </c>
      <c r="D26" s="341" t="n"/>
      <c r="E26" s="437">
        <f>'Pricing Worksheet'!B116</f>
        <v/>
      </c>
      <c r="F26" s="320">
        <f>'Pricing Worksheet'!E116</f>
        <v/>
      </c>
      <c r="G26" s="287" t="inlineStr">
        <is>
          <t>x</t>
        </is>
      </c>
      <c r="H26" s="320">
        <f>'Pricing Worksheet'!F116</f>
        <v/>
      </c>
      <c r="I26" s="282" t="n"/>
      <c r="J26" s="437" t="inlineStr">
        <is>
          <t>Description</t>
        </is>
      </c>
      <c r="K26" s="99" t="n"/>
    </row>
    <row r="27" hidden="1" ht="26" customHeight="1" s="486">
      <c r="B27" s="340">
        <f>'Pricing Worksheet'!D117</f>
        <v/>
      </c>
      <c r="C27" s="437">
        <f>'Pricing Worksheet'!C117</f>
        <v/>
      </c>
      <c r="D27" s="341" t="n"/>
      <c r="E27" s="437">
        <f>'Pricing Worksheet'!B117</f>
        <v/>
      </c>
      <c r="F27" s="320">
        <f>'Pricing Worksheet'!E117</f>
        <v/>
      </c>
      <c r="G27" s="287" t="inlineStr">
        <is>
          <t>x</t>
        </is>
      </c>
      <c r="H27" s="320">
        <f>'Pricing Worksheet'!F117</f>
        <v/>
      </c>
      <c r="I27" s="282" t="n"/>
      <c r="J27" s="437" t="inlineStr">
        <is>
          <t>Description</t>
        </is>
      </c>
      <c r="K27" s="99" t="n"/>
    </row>
    <row r="28" hidden="1" ht="26" customHeight="1" s="486">
      <c r="B28" s="340">
        <f>'Pricing Worksheet'!D118</f>
        <v/>
      </c>
      <c r="C28" s="437">
        <f>'Pricing Worksheet'!C118</f>
        <v/>
      </c>
      <c r="D28" s="341" t="n"/>
      <c r="E28" s="437">
        <f>'Pricing Worksheet'!B118</f>
        <v/>
      </c>
      <c r="F28" s="320">
        <f>'Pricing Worksheet'!E118</f>
        <v/>
      </c>
      <c r="G28" s="287" t="inlineStr">
        <is>
          <t>x</t>
        </is>
      </c>
      <c r="H28" s="320">
        <f>'Pricing Worksheet'!F118</f>
        <v/>
      </c>
      <c r="I28" s="282" t="n"/>
      <c r="J28" s="437" t="inlineStr">
        <is>
          <t>Description</t>
        </is>
      </c>
      <c r="K28" s="99" t="n"/>
    </row>
    <row r="29" hidden="1" ht="26" customHeight="1" s="486">
      <c r="B29" s="340">
        <f>'Pricing Worksheet'!D119</f>
        <v/>
      </c>
      <c r="C29" s="437">
        <f>'Pricing Worksheet'!C119</f>
        <v/>
      </c>
      <c r="D29" s="341" t="n"/>
      <c r="E29" s="437">
        <f>'Pricing Worksheet'!B119</f>
        <v/>
      </c>
      <c r="F29" s="320">
        <f>'Pricing Worksheet'!E119</f>
        <v/>
      </c>
      <c r="G29" s="287" t="inlineStr">
        <is>
          <t>x</t>
        </is>
      </c>
      <c r="H29" s="320">
        <f>'Pricing Worksheet'!F119</f>
        <v/>
      </c>
      <c r="I29" s="282" t="n"/>
      <c r="J29" s="437" t="inlineStr">
        <is>
          <t>Description</t>
        </is>
      </c>
      <c r="K29" s="99" t="n"/>
    </row>
    <row r="30" hidden="1" ht="26" customHeight="1" s="486">
      <c r="B30" s="340">
        <f>'Pricing Worksheet'!D120</f>
        <v/>
      </c>
      <c r="C30" s="437">
        <f>'Pricing Worksheet'!C120</f>
        <v/>
      </c>
      <c r="D30" s="341" t="n"/>
      <c r="E30" s="437">
        <f>'Pricing Worksheet'!B120</f>
        <v/>
      </c>
      <c r="F30" s="320">
        <f>'Pricing Worksheet'!E120</f>
        <v/>
      </c>
      <c r="G30" s="287" t="inlineStr">
        <is>
          <t>x</t>
        </is>
      </c>
      <c r="H30" s="320">
        <f>'Pricing Worksheet'!F120</f>
        <v/>
      </c>
      <c r="I30" s="282" t="n"/>
      <c r="J30" s="437" t="inlineStr">
        <is>
          <t>Description</t>
        </is>
      </c>
      <c r="K30" s="99" t="n"/>
    </row>
    <row r="31" hidden="1" ht="26" customHeight="1" s="486">
      <c r="B31" s="340">
        <f>'Pricing Worksheet'!D121</f>
        <v/>
      </c>
      <c r="C31" s="437">
        <f>'Pricing Worksheet'!C121</f>
        <v/>
      </c>
      <c r="D31" s="341" t="n"/>
      <c r="E31" s="437">
        <f>'Pricing Worksheet'!B121</f>
        <v/>
      </c>
      <c r="F31" s="320">
        <f>'Pricing Worksheet'!E121</f>
        <v/>
      </c>
      <c r="G31" s="287" t="inlineStr">
        <is>
          <t>x</t>
        </is>
      </c>
      <c r="H31" s="320">
        <f>'Pricing Worksheet'!F121</f>
        <v/>
      </c>
      <c r="I31" s="282" t="n"/>
      <c r="J31" s="437" t="inlineStr">
        <is>
          <t>Description</t>
        </is>
      </c>
      <c r="K31" s="99" t="n"/>
    </row>
    <row r="32" hidden="1" ht="26" customHeight="1" s="486">
      <c r="B32" s="340">
        <f>'Pricing Worksheet'!D122</f>
        <v/>
      </c>
      <c r="C32" s="437">
        <f>'Pricing Worksheet'!C122</f>
        <v/>
      </c>
      <c r="D32" s="341" t="n"/>
      <c r="E32" s="437">
        <f>'Pricing Worksheet'!B122</f>
        <v/>
      </c>
      <c r="F32" s="320">
        <f>'Pricing Worksheet'!E122</f>
        <v/>
      </c>
      <c r="G32" s="287" t="inlineStr">
        <is>
          <t>x</t>
        </is>
      </c>
      <c r="H32" s="320">
        <f>'Pricing Worksheet'!F122</f>
        <v/>
      </c>
      <c r="I32" s="282" t="n"/>
      <c r="J32" s="437" t="inlineStr">
        <is>
          <t>Description</t>
        </is>
      </c>
      <c r="K32" s="99" t="n"/>
    </row>
    <row r="33" ht="13" customHeight="1" s="486">
      <c r="B33" s="435" t="n"/>
      <c r="C33" s="288" t="n"/>
      <c r="D33" s="280" t="n"/>
      <c r="E33" s="280" t="n"/>
      <c r="F33" s="321" t="n"/>
      <c r="G33" s="280" t="n"/>
      <c r="H33" s="608" t="n"/>
      <c r="I33" s="282" t="n"/>
      <c r="J33" s="440" t="n"/>
      <c r="K33" s="99" t="n"/>
    </row>
    <row r="34">
      <c r="B34" s="289" t="inlineStr">
        <is>
          <t>Glazing</t>
        </is>
      </c>
      <c r="C34" s="288" t="n"/>
      <c r="D34" s="280" t="n"/>
      <c r="E34" s="280" t="n"/>
      <c r="F34" s="321" t="n"/>
      <c r="G34" s="280" t="n"/>
      <c r="H34" s="608" t="n"/>
      <c r="I34" s="282" t="n"/>
    </row>
    <row r="35" hidden="1" ht="13" customHeight="1" s="486">
      <c r="B35" s="343" t="inlineStr">
        <is>
          <t xml:space="preserve">Glass Make-up                                                                                                                                                                                            </t>
        </is>
      </c>
      <c r="C35" s="344" t="n"/>
      <c r="D35" s="343" t="n"/>
      <c r="E35" s="343" t="n"/>
      <c r="F35" s="343" t="n"/>
      <c r="G35" s="343" t="n"/>
      <c r="H35" s="351" t="n"/>
      <c r="I35" s="343" t="n"/>
      <c r="J35" s="343" t="n"/>
      <c r="K35" s="343" t="n"/>
    </row>
    <row r="36" hidden="1" ht="13" customHeight="1" s="486">
      <c r="B36" s="345" t="inlineStr">
        <is>
          <t>10mm top layer – low iron tempered anti-slip texture. Final texture TBD.</t>
        </is>
      </c>
      <c r="C36" s="344" t="n"/>
      <c r="D36" s="343" t="n"/>
      <c r="E36" s="343" t="n"/>
      <c r="F36" s="343" t="n"/>
      <c r="G36" s="343" t="n"/>
      <c r="H36" s="351" t="n"/>
      <c r="I36" s="343" t="n"/>
      <c r="J36" s="343" t="n"/>
      <c r="K36" s="343" t="n"/>
    </row>
    <row r="37" hidden="1" s="486">
      <c r="B37" s="290" t="inlineStr">
        <is>
          <t>1.52mm interlayer – PVB</t>
        </is>
      </c>
      <c r="C37" s="291" t="n"/>
      <c r="D37" s="440" t="n"/>
      <c r="E37" s="440" t="n"/>
      <c r="F37" s="440" t="n"/>
      <c r="G37" s="440" t="n"/>
      <c r="H37" s="292" t="n"/>
    </row>
    <row r="38" hidden="1" s="486">
      <c r="B38" s="290" t="inlineStr">
        <is>
          <t>10mm middle layer – low iron tempered</t>
        </is>
      </c>
      <c r="C38" s="291" t="n"/>
      <c r="D38" s="440" t="n"/>
      <c r="E38" s="440" t="n"/>
      <c r="F38" s="440" t="n"/>
      <c r="G38" s="440" t="n"/>
      <c r="H38" s="292" t="n"/>
    </row>
    <row r="39" hidden="1" s="486">
      <c r="B39" s="290" t="inlineStr">
        <is>
          <t>1.52mm interlayer – PVB</t>
        </is>
      </c>
      <c r="C39" s="291" t="n"/>
      <c r="D39" s="440" t="n"/>
      <c r="E39" s="440" t="n"/>
      <c r="F39" s="440" t="n"/>
      <c r="G39" s="440" t="n"/>
      <c r="H39" s="292" t="n"/>
    </row>
    <row r="40" hidden="1" s="486">
      <c r="B40" s="290" t="inlineStr">
        <is>
          <t>10mm bottom layer – low iron tempered</t>
        </is>
      </c>
      <c r="C40" s="291" t="n"/>
      <c r="D40" s="440" t="n"/>
      <c r="E40" s="440" t="n"/>
      <c r="F40" s="440" t="n"/>
      <c r="G40" s="440" t="n"/>
      <c r="H40" s="292" t="n"/>
    </row>
    <row r="41" hidden="1" ht="5" customHeight="1" s="486">
      <c r="B41" s="290" t="n"/>
      <c r="C41" s="291" t="n"/>
      <c r="D41" s="440" t="n"/>
      <c r="E41" s="440" t="n"/>
      <c r="F41" s="440" t="n"/>
      <c r="G41" s="440" t="n"/>
      <c r="H41" s="292" t="n"/>
    </row>
    <row r="42">
      <c r="B42" s="343" t="inlineStr">
        <is>
          <t xml:space="preserve">Glass Make-up                                                                                                                                                                                                </t>
        </is>
      </c>
      <c r="C42" s="447" t="n"/>
      <c r="D42" s="447" t="n"/>
      <c r="E42" s="447" t="n"/>
      <c r="F42" s="447" t="n"/>
      <c r="G42" s="447" t="n"/>
      <c r="H42" s="447" t="n"/>
      <c r="I42" s="447" t="n"/>
      <c r="J42" s="447" t="n"/>
      <c r="K42" s="447" t="n"/>
    </row>
    <row r="43">
      <c r="B43" s="345" t="inlineStr">
        <is>
          <t xml:space="preserve">10mm top layer – low iron tempered anti-slip texture. Final texture TBD. </t>
        </is>
      </c>
      <c r="C43" s="291" t="n"/>
      <c r="D43" s="440" t="n"/>
      <c r="E43" s="440" t="n"/>
      <c r="F43" s="440" t="n"/>
      <c r="G43" s="440" t="n"/>
      <c r="H43" s="292" t="n"/>
    </row>
    <row r="44">
      <c r="B44" s="290" t="inlineStr">
        <is>
          <t>1.52mm interlayer – DG Structural</t>
        </is>
      </c>
      <c r="C44" s="291" t="n"/>
      <c r="D44" s="440" t="n"/>
      <c r="E44" s="440" t="n"/>
      <c r="F44" s="440" t="n"/>
      <c r="G44" s="440" t="n"/>
      <c r="H44" s="292" t="n"/>
    </row>
    <row r="45">
      <c r="B45" s="290" t="inlineStr">
        <is>
          <t>10mm middle layer – low iron tempered</t>
        </is>
      </c>
      <c r="C45" s="291" t="n"/>
      <c r="D45" s="440" t="n"/>
      <c r="E45" s="440" t="n"/>
      <c r="F45" s="440" t="n"/>
      <c r="G45" s="440" t="n"/>
      <c r="H45" s="292" t="n"/>
    </row>
    <row r="46">
      <c r="B46" s="290" t="inlineStr">
        <is>
          <t>1.52mm interlayer – DG Structural</t>
        </is>
      </c>
      <c r="C46" s="291" t="n"/>
      <c r="D46" s="440" t="n"/>
      <c r="E46" s="440" t="n"/>
      <c r="F46" s="440" t="n"/>
      <c r="G46" s="440" t="n"/>
      <c r="H46" s="292" t="n"/>
    </row>
    <row r="47">
      <c r="B47" s="290" t="inlineStr">
        <is>
          <t>10mm bottom layer – low iron tempered with back painted border.</t>
        </is>
      </c>
      <c r="C47" s="291" t="n"/>
      <c r="D47" s="440" t="n"/>
      <c r="E47" s="440" t="n"/>
      <c r="F47" s="440" t="n"/>
      <c r="G47" s="440" t="n"/>
      <c r="H47" s="292" t="n"/>
    </row>
    <row r="48">
      <c r="B48" s="290" t="inlineStr">
        <is>
          <t>10mm air spacer</t>
        </is>
      </c>
      <c r="C48" s="291" t="n"/>
      <c r="D48" s="440" t="n"/>
      <c r="E48" s="440" t="n"/>
      <c r="F48" s="440" t="n"/>
      <c r="G48" s="440" t="n"/>
      <c r="H48" s="292" t="n"/>
    </row>
    <row r="49">
      <c r="B49" s="290" t="inlineStr">
        <is>
          <t>4mm tempered Sun T</t>
        </is>
      </c>
      <c r="C49" s="291" t="n"/>
      <c r="D49" s="440" t="n"/>
      <c r="E49" s="440" t="n"/>
      <c r="F49" s="440" t="n"/>
      <c r="G49" s="440" t="n"/>
      <c r="H49" s="292" t="n"/>
    </row>
    <row r="50">
      <c r="B50" s="290" t="inlineStr">
        <is>
          <t>.76mm interlayer DG Structural</t>
        </is>
      </c>
      <c r="C50" s="291" t="n"/>
      <c r="D50" s="440" t="n"/>
      <c r="E50" s="440" t="n"/>
      <c r="F50" s="440" t="n"/>
      <c r="G50" s="440" t="n"/>
      <c r="H50" s="292" t="n"/>
    </row>
    <row r="51">
      <c r="B51" s="290" t="inlineStr">
        <is>
          <t xml:space="preserve">4mm low iron tempered </t>
        </is>
      </c>
      <c r="C51" s="291" t="n"/>
      <c r="D51" s="440" t="n"/>
      <c r="E51" s="440" t="n"/>
      <c r="F51" s="440" t="n"/>
      <c r="G51" s="440" t="n"/>
      <c r="H51" s="292" t="n"/>
    </row>
    <row r="52" ht="13" customHeight="1" s="486">
      <c r="B52" s="290" t="n"/>
      <c r="C52" s="291" t="n"/>
      <c r="D52" s="440" t="n"/>
      <c r="E52" s="440" t="n"/>
      <c r="F52" s="440" t="n"/>
      <c r="G52" s="440" t="n"/>
      <c r="H52" s="292" t="n"/>
    </row>
    <row r="53" ht="13" customHeight="1" s="486">
      <c r="B53" s="346" t="inlineStr">
        <is>
          <t>Frame Finish</t>
        </is>
      </c>
      <c r="C53" s="440" t="n"/>
      <c r="D53" s="440" t="n"/>
      <c r="F53" s="440" t="n"/>
      <c r="G53" s="440" t="n"/>
      <c r="H53" s="440" t="n"/>
    </row>
    <row r="54" ht="13" customHeight="1" s="486">
      <c r="B54" s="317" t="inlineStr">
        <is>
          <t xml:space="preserve">Standard frame colors are painted PPG Coraflon black or white. Custom colors and finishes are available upon request - at an additional cost. </t>
        </is>
      </c>
      <c r="C54" s="440" t="n"/>
      <c r="D54" s="440" t="n"/>
      <c r="E54" s="440" t="n"/>
      <c r="F54" s="440" t="n"/>
      <c r="G54" s="440" t="n"/>
      <c r="H54" s="440" t="n"/>
    </row>
    <row r="55" ht="13" customHeight="1" s="486">
      <c r="G55" s="295" t="n"/>
      <c r="H55" s="296" t="n"/>
      <c r="I55" s="347" t="n"/>
    </row>
    <row r="56" ht="13" customHeight="1" s="486">
      <c r="B56" s="297" t="inlineStr">
        <is>
          <t>Frame Type</t>
        </is>
      </c>
      <c r="C56" s="298" t="n"/>
      <c r="G56" s="295" t="n"/>
      <c r="H56" s="296" t="n"/>
    </row>
    <row r="57" ht="26" customHeight="1" s="486">
      <c r="A57" s="299" t="n"/>
      <c r="B57" s="434" t="inlineStr">
        <is>
          <t xml:space="preserve">6063-T6 extruded aluminum, thermally broken, Series 1000 recessed perimeter framing (modified rear flange removal on all sides) with integrated setting gaskets and LED lighting channel. Framing to arrive fully welded, glazing to be performed on site - by others. </t>
        </is>
      </c>
      <c r="C57" s="99" t="n"/>
      <c r="D57" s="99" t="n"/>
      <c r="E57" s="99" t="n"/>
      <c r="F57" s="99" t="n"/>
      <c r="G57" s="99" t="n"/>
      <c r="H57" s="99" t="n"/>
      <c r="I57" s="99" t="n"/>
      <c r="J57" s="99" t="n"/>
      <c r="K57" s="99" t="n"/>
    </row>
    <row r="58" hidden="1" ht="13" customHeight="1" s="486">
      <c r="A58" s="299" t="n"/>
      <c r="B58" s="444" t="inlineStr">
        <is>
          <t>Frame Weight</t>
        </is>
      </c>
      <c r="C58" s="99" t="n"/>
      <c r="D58" s="445" t="n"/>
      <c r="E58" s="445" t="n"/>
      <c r="F58" s="445" t="n"/>
      <c r="G58" s="445" t="n"/>
      <c r="H58" s="445" t="n"/>
      <c r="I58" s="445" t="n"/>
      <c r="J58" s="445" t="n"/>
      <c r="K58" s="445" t="n"/>
    </row>
    <row r="59" hidden="1" ht="13" customHeight="1" s="486">
      <c r="A59" s="299" t="n"/>
      <c r="B59" s="444" t="inlineStr">
        <is>
          <t>Glass Weight</t>
        </is>
      </c>
      <c r="C59" s="99" t="n"/>
      <c r="D59" s="445" t="n"/>
      <c r="E59" s="445" t="n"/>
      <c r="F59" s="445" t="n"/>
      <c r="G59" s="445" t="n"/>
      <c r="H59" s="445" t="n"/>
      <c r="I59" s="445" t="n"/>
      <c r="J59" s="445" t="n"/>
      <c r="K59" s="445" t="n"/>
    </row>
    <row r="60" hidden="1" ht="1" customHeight="1" s="486">
      <c r="A60" s="300" t="n"/>
      <c r="B60" s="440" t="inlineStr">
        <is>
          <t>Total weight of unit</t>
        </is>
      </c>
      <c r="C60" s="99" t="n"/>
      <c r="D60" s="440" t="n"/>
      <c r="E60" s="440" t="n"/>
      <c r="F60" s="440" t="n"/>
      <c r="G60" s="440" t="n"/>
      <c r="H60" s="440" t="n"/>
    </row>
    <row r="61" ht="13" customHeight="1" s="486">
      <c r="A61" s="300" t="n"/>
      <c r="C61" s="440" t="n"/>
      <c r="D61" s="440" t="n"/>
      <c r="E61" s="440" t="n"/>
      <c r="F61" s="440" t="n"/>
      <c r="G61" s="440" t="n"/>
      <c r="H61" s="440" t="n"/>
    </row>
    <row r="62">
      <c r="A62" s="300" t="n"/>
      <c r="B62" s="297" t="inlineStr">
        <is>
          <t>Lead- time</t>
        </is>
      </c>
      <c r="C62" s="291" t="n"/>
      <c r="D62" s="293" t="n"/>
      <c r="E62" s="295" t="n"/>
      <c r="F62" s="295" t="n"/>
      <c r="G62" s="440" t="n"/>
      <c r="H62" s="440" t="n"/>
    </row>
    <row r="63" ht="13" customHeight="1" s="486">
      <c r="A63" s="300" t="n"/>
      <c r="B63" s="441" t="inlineStr">
        <is>
          <t>Lead time 14 - 16 weeks after approved shop drawings but can vary depending on market conditions. See our terms and conditions for more information.</t>
        </is>
      </c>
    </row>
    <row r="64" ht="13" customHeight="1" s="486">
      <c r="A64" s="300" t="n"/>
      <c r="B64" s="442" t="n"/>
      <c r="C64" s="442" t="n"/>
      <c r="D64" s="442" t="n"/>
      <c r="E64" s="442" t="n"/>
      <c r="F64" s="442" t="n"/>
      <c r="G64" s="442" t="n"/>
      <c r="H64" s="442" t="n"/>
      <c r="I64" s="442" t="n"/>
      <c r="J64" s="442" t="n"/>
      <c r="K64" s="442" t="n"/>
    </row>
    <row r="65">
      <c r="A65" s="300" t="n"/>
      <c r="B65" s="297" t="inlineStr">
        <is>
          <t>Shop drawings</t>
        </is>
      </c>
      <c r="C65" s="291" t="n"/>
      <c r="D65" s="456" t="n"/>
      <c r="E65" s="456" t="n"/>
      <c r="F65" s="456" t="n"/>
      <c r="G65" s="456" t="n"/>
      <c r="H65" s="292" t="n"/>
    </row>
    <row r="66">
      <c r="A66" s="300" t="n"/>
      <c r="B66" s="317" t="inlineStr">
        <is>
          <t>Shop drawings will be completed 1 - 2 weeks from approved contract of sale and receipt of contractor's purchase order with deposit.</t>
        </is>
      </c>
      <c r="C66" s="291" t="n"/>
      <c r="D66" s="293" t="n"/>
      <c r="E66" s="293" t="n"/>
      <c r="F66" s="293" t="n"/>
      <c r="G66" s="293" t="n"/>
      <c r="H66" s="294" t="n"/>
    </row>
    <row r="67" ht="13" customHeight="1" s="486">
      <c r="A67" s="300" t="n"/>
      <c r="B67" s="456" t="n"/>
      <c r="C67" s="440" t="n"/>
      <c r="D67" s="440" t="n"/>
      <c r="E67" s="440" t="n"/>
      <c r="F67" s="440" t="n"/>
      <c r="G67" s="440" t="n"/>
      <c r="H67" s="440" t="n"/>
    </row>
    <row r="68">
      <c r="A68" s="300" t="n"/>
      <c r="B68" s="289" t="inlineStr">
        <is>
          <t>Pricing</t>
        </is>
      </c>
      <c r="C68" s="440" t="n"/>
      <c r="D68" s="440" t="n"/>
      <c r="E68" s="440" t="n"/>
      <c r="F68" s="440" t="n"/>
      <c r="G68" s="440" t="n"/>
      <c r="H68" s="440" t="n"/>
    </row>
    <row r="69" ht="65" customHeight="1" s="486">
      <c r="A69" s="300" t="n"/>
      <c r="B69" s="454" t="inlineStr">
        <is>
          <t>Unit A</t>
        </is>
      </c>
      <c r="C69" s="99" t="n"/>
      <c r="D69" s="438">
        <f>I23</f>
        <v/>
      </c>
      <c r="J69" s="342">
        <f>'Pricing Worksheet'!F93*'Pricing Worksheet'!J113</f>
        <v/>
      </c>
      <c r="K69" s="437" t="inlineStr">
        <is>
          <t>Anti-Slip surface texture is included in base price. See our Terms and Conditions #20 for the texture options included in the base price. The Seeded Organic™ and NanoDot™ textures are available - at an additional cost listed below.</t>
        </is>
      </c>
    </row>
    <row r="70" hidden="1" ht="12" customHeight="1" s="486">
      <c r="A70" s="300" t="n"/>
      <c r="B70" s="435" t="inlineStr">
        <is>
          <t>Unit B</t>
        </is>
      </c>
      <c r="C70" s="99" t="n"/>
      <c r="D70" s="439">
        <f>J24</f>
        <v/>
      </c>
      <c r="J70" s="348">
        <f>'Pricing Worksheet'!I93*'Pricing Worksheet'!J114</f>
        <v/>
      </c>
      <c r="K70" s="99" t="n"/>
    </row>
    <row r="71" hidden="1" s="486">
      <c r="A71" s="300" t="n"/>
      <c r="B71" s="435" t="inlineStr">
        <is>
          <t>Unit C</t>
        </is>
      </c>
      <c r="C71" s="99" t="n"/>
      <c r="D71" s="439">
        <f>J25</f>
        <v/>
      </c>
      <c r="J71" s="348">
        <f>'Pricing Worksheet'!L93*'Pricing Worksheet'!J115</f>
        <v/>
      </c>
      <c r="K71" s="99" t="n"/>
    </row>
    <row r="72" hidden="1" s="486">
      <c r="A72" s="300" t="n"/>
      <c r="B72" s="435" t="inlineStr">
        <is>
          <t>Unit D</t>
        </is>
      </c>
      <c r="C72" s="99" t="n"/>
      <c r="D72" s="439">
        <f>J26</f>
        <v/>
      </c>
      <c r="J72" s="348">
        <f>'Pricing Worksheet'!O93*'Pricing Worksheet'!J116</f>
        <v/>
      </c>
      <c r="K72" s="99" t="n"/>
    </row>
    <row r="73" hidden="1" s="486">
      <c r="A73" s="300" t="n"/>
      <c r="B73" s="435" t="inlineStr">
        <is>
          <t>Unit E</t>
        </is>
      </c>
      <c r="C73" s="99" t="n"/>
      <c r="D73" s="439">
        <f>J27</f>
        <v/>
      </c>
      <c r="J73" s="348">
        <f>'Pricing Worksheet'!R93*'Pricing Worksheet'!J117</f>
        <v/>
      </c>
      <c r="K73" s="99" t="n"/>
    </row>
    <row r="74" hidden="1" s="486">
      <c r="A74" s="300" t="n"/>
      <c r="B74" s="435" t="inlineStr">
        <is>
          <t>Unit F</t>
        </is>
      </c>
      <c r="C74" s="99" t="n"/>
      <c r="D74" s="439">
        <f>J28</f>
        <v/>
      </c>
      <c r="J74" s="348">
        <f>'Pricing Worksheet'!U93*'Pricing Worksheet'!J118</f>
        <v/>
      </c>
      <c r="K74" s="99" t="n"/>
    </row>
    <row r="75" hidden="1" s="486">
      <c r="A75" s="300" t="n"/>
      <c r="B75" s="435" t="inlineStr">
        <is>
          <t>Unit G</t>
        </is>
      </c>
      <c r="C75" s="99" t="n"/>
      <c r="D75" s="439">
        <f>J29</f>
        <v/>
      </c>
      <c r="J75" s="348">
        <f>'Pricing Worksheet'!X93*'Pricing Worksheet'!J119</f>
        <v/>
      </c>
      <c r="K75" s="99" t="n"/>
    </row>
    <row r="76" hidden="1" s="486">
      <c r="A76" s="300" t="n"/>
      <c r="B76" s="435" t="inlineStr">
        <is>
          <t>Unit H</t>
        </is>
      </c>
      <c r="C76" s="99" t="n"/>
      <c r="D76" s="439">
        <f>J30</f>
        <v/>
      </c>
      <c r="J76" s="348">
        <f>'Pricing Worksheet'!AA93*'Pricing Worksheet'!J120</f>
        <v/>
      </c>
      <c r="K76" s="99" t="n"/>
    </row>
    <row r="77" hidden="1" s="486">
      <c r="A77" s="300" t="n"/>
      <c r="B77" s="435" t="inlineStr">
        <is>
          <t>Unit I</t>
        </is>
      </c>
      <c r="C77" s="99" t="n"/>
      <c r="D77" s="439" t="inlineStr">
        <is>
          <t>Description</t>
        </is>
      </c>
      <c r="J77" s="348">
        <f>'Pricing Worksheet'!AD93*'Pricing Worksheet'!J121</f>
        <v/>
      </c>
      <c r="K77" s="99" t="n"/>
    </row>
    <row r="78" hidden="1" s="486">
      <c r="A78" s="300" t="n"/>
      <c r="B78" s="435" t="inlineStr">
        <is>
          <t>Unit J</t>
        </is>
      </c>
      <c r="C78" s="99" t="n"/>
      <c r="D78" s="439" t="inlineStr">
        <is>
          <t>Description</t>
        </is>
      </c>
      <c r="J78" s="348">
        <f>'Pricing Worksheet'!AG93*'Pricing Worksheet'!J122</f>
        <v/>
      </c>
      <c r="K78" s="99" t="n"/>
    </row>
    <row r="79" hidden="1" s="486">
      <c r="A79" s="300" t="n"/>
      <c r="B79" s="301" t="inlineStr">
        <is>
          <t>Total</t>
        </is>
      </c>
      <c r="C79" s="302" t="n"/>
      <c r="D79" s="302" t="n"/>
      <c r="E79" s="302" t="n"/>
      <c r="F79" s="302" t="n"/>
      <c r="G79" s="302" t="n"/>
      <c r="H79" s="302" t="n"/>
      <c r="I79" s="302" t="n"/>
      <c r="J79" s="303">
        <f>SUM(J69:J78)</f>
        <v/>
      </c>
    </row>
    <row r="80">
      <c r="A80" s="300" t="n"/>
      <c r="B80" s="456" t="inlineStr">
        <is>
          <t xml:space="preserve">Plus Tax if applicable / HST &amp; Duty to be paid by purchaser </t>
        </is>
      </c>
      <c r="C80" s="99" t="n"/>
      <c r="D80" s="99" t="n"/>
      <c r="E80" s="99" t="n"/>
      <c r="F80" s="99" t="n"/>
      <c r="G80" s="99" t="n"/>
      <c r="H80" s="99" t="n"/>
      <c r="I80" s="99" t="n"/>
      <c r="J80" s="99" t="n"/>
      <c r="K80" s="99" t="n"/>
    </row>
    <row r="81" ht="13" customHeight="1" s="486">
      <c r="A81" s="300" t="n"/>
      <c r="B81" s="456" t="n"/>
      <c r="C81" s="443" t="n"/>
      <c r="D81" s="443" t="n"/>
      <c r="E81" s="440" t="n"/>
      <c r="F81" s="440" t="n"/>
      <c r="G81" s="440" t="n"/>
      <c r="H81" s="440" t="n"/>
    </row>
    <row r="82">
      <c r="B82" s="289" t="inlineStr">
        <is>
          <t>Add - Seeded Organic™ anti-slip texture (Optional)</t>
        </is>
      </c>
      <c r="C82" s="291" t="n"/>
      <c r="D82" s="440" t="n"/>
      <c r="E82" s="440" t="n"/>
      <c r="F82" s="440" t="n"/>
      <c r="G82" s="440" t="n"/>
      <c r="H82" s="292" t="n"/>
      <c r="J82" s="610" t="n"/>
    </row>
    <row r="83">
      <c r="B83" s="456" t="inlineStr">
        <is>
          <t xml:space="preserve">Unit A </t>
        </is>
      </c>
      <c r="C83" s="270" t="n"/>
      <c r="D83" s="306" t="inlineStr">
        <is>
          <t>Add</t>
        </is>
      </c>
      <c r="E83" s="610">
        <f>'Pricing Worksheet'!F105</f>
        <v/>
      </c>
      <c r="F83" s="440" t="inlineStr">
        <is>
          <t>Initial here ________ if you approve additional charge for our Seeded Organic™ texture.</t>
        </is>
      </c>
      <c r="G83" s="99" t="n"/>
      <c r="H83" s="99" t="n"/>
      <c r="I83" s="99" t="n"/>
      <c r="J83" s="99" t="n"/>
      <c r="K83" s="99" t="n"/>
    </row>
    <row r="84" hidden="1" s="486">
      <c r="B84" s="456" t="inlineStr">
        <is>
          <t xml:space="preserve">Unit B </t>
        </is>
      </c>
      <c r="C84" s="270" t="n"/>
      <c r="D84" s="611" t="inlineStr">
        <is>
          <t>add</t>
        </is>
      </c>
      <c r="E84" s="610">
        <f>'Pricing Worksheet'!I105</f>
        <v/>
      </c>
      <c r="F84" s="440" t="inlineStr">
        <is>
          <t>Initial here ________ if you approve additional charge for our Seeded Organic™ texture.</t>
        </is>
      </c>
      <c r="G84" s="99" t="n"/>
      <c r="H84" s="99" t="n"/>
      <c r="I84" s="99" t="n"/>
      <c r="J84" s="99" t="n"/>
      <c r="K84" s="99" t="n"/>
    </row>
    <row r="85" hidden="1" s="486">
      <c r="B85" s="456" t="inlineStr">
        <is>
          <t>Unit C</t>
        </is>
      </c>
      <c r="C85" s="270" t="n"/>
      <c r="D85" s="611" t="inlineStr">
        <is>
          <t>add</t>
        </is>
      </c>
      <c r="E85" s="610">
        <f>'Pricing Worksheet'!L105</f>
        <v/>
      </c>
      <c r="F85" s="440" t="inlineStr">
        <is>
          <t>Initial here ________ if you approve additional charge for our Seeded Organic™ texture.</t>
        </is>
      </c>
      <c r="G85" s="99" t="n"/>
      <c r="H85" s="99" t="n"/>
      <c r="I85" s="99" t="n"/>
      <c r="J85" s="99" t="n"/>
      <c r="K85" s="99" t="n"/>
    </row>
    <row r="86" hidden="1" s="486">
      <c r="B86" s="456" t="inlineStr">
        <is>
          <t>Unit D</t>
        </is>
      </c>
      <c r="C86" s="270" t="n"/>
      <c r="D86" s="611" t="inlineStr">
        <is>
          <t>add</t>
        </is>
      </c>
      <c r="E86" s="610">
        <f>'Pricing Worksheet'!O105</f>
        <v/>
      </c>
      <c r="F86" s="440" t="inlineStr">
        <is>
          <t>Initial here ________ if you approve additional charge for our Seeded Organic™ texture.</t>
        </is>
      </c>
      <c r="G86" s="99" t="n"/>
      <c r="H86" s="99" t="n"/>
      <c r="I86" s="99" t="n"/>
      <c r="J86" s="99" t="n"/>
      <c r="K86" s="99" t="n"/>
    </row>
    <row r="87" hidden="1" s="486">
      <c r="B87" s="456" t="inlineStr">
        <is>
          <t>Unit E</t>
        </is>
      </c>
      <c r="C87" s="270" t="n"/>
      <c r="D87" s="611" t="inlineStr">
        <is>
          <t>add</t>
        </is>
      </c>
      <c r="E87" s="610">
        <f>'Pricing Worksheet'!R105</f>
        <v/>
      </c>
      <c r="F87" s="440" t="inlineStr">
        <is>
          <t>Initial here ________ if you approve additional charge for our Seeded Organic™ texture.</t>
        </is>
      </c>
      <c r="G87" s="99" t="n"/>
      <c r="H87" s="99" t="n"/>
      <c r="I87" s="99" t="n"/>
      <c r="J87" s="99" t="n"/>
      <c r="K87" s="99" t="n"/>
    </row>
    <row r="88" hidden="1" s="486">
      <c r="B88" s="456" t="inlineStr">
        <is>
          <t>Unit F</t>
        </is>
      </c>
      <c r="C88" s="270" t="n"/>
      <c r="D88" s="611" t="inlineStr">
        <is>
          <t>add</t>
        </is>
      </c>
      <c r="E88" s="610">
        <f>'Pricing Worksheet'!U105</f>
        <v/>
      </c>
      <c r="F88" s="440" t="inlineStr">
        <is>
          <t>Initial here ________ if you approve additional charge for our Seeded Organic™ texture.</t>
        </is>
      </c>
      <c r="G88" s="99" t="n"/>
      <c r="H88" s="99" t="n"/>
      <c r="I88" s="99" t="n"/>
      <c r="J88" s="99" t="n"/>
      <c r="K88" s="99" t="n"/>
    </row>
    <row r="89" hidden="1" s="486">
      <c r="B89" s="456" t="inlineStr">
        <is>
          <t>Unit G</t>
        </is>
      </c>
      <c r="C89" s="270" t="n"/>
      <c r="D89" s="611" t="inlineStr">
        <is>
          <t>add</t>
        </is>
      </c>
      <c r="E89" s="610">
        <f>'Pricing Worksheet'!X105</f>
        <v/>
      </c>
      <c r="F89" s="440" t="inlineStr">
        <is>
          <t>Initial here ________ if you approve additional charge for our Seeded Organic™ texture.</t>
        </is>
      </c>
      <c r="G89" s="99" t="n"/>
      <c r="H89" s="99" t="n"/>
      <c r="I89" s="99" t="n"/>
      <c r="J89" s="99" t="n"/>
      <c r="K89" s="99" t="n"/>
      <c r="N89" s="289" t="n"/>
      <c r="O89" s="270" t="n"/>
      <c r="P89" s="611" t="n"/>
      <c r="Q89" s="610" t="n"/>
      <c r="S89" s="443" t="n"/>
      <c r="T89" s="443" t="n"/>
      <c r="U89" s="443" t="n"/>
      <c r="V89" s="443" t="n"/>
    </row>
    <row r="90" hidden="1" s="486">
      <c r="B90" s="456" t="inlineStr">
        <is>
          <t>Unit H</t>
        </is>
      </c>
      <c r="C90" s="270" t="n"/>
      <c r="D90" s="611" t="inlineStr">
        <is>
          <t>add</t>
        </is>
      </c>
      <c r="E90" s="610">
        <f>'Pricing Worksheet'!AA105</f>
        <v/>
      </c>
      <c r="F90" s="440" t="inlineStr">
        <is>
          <t>Initial here ________ if you approve additional charge for our Seeded Organic™ texture.</t>
        </is>
      </c>
      <c r="G90" s="99" t="n"/>
      <c r="H90" s="99" t="n"/>
      <c r="I90" s="99" t="n"/>
      <c r="J90" s="99" t="n"/>
      <c r="K90" s="99" t="n"/>
      <c r="N90" s="456" t="n"/>
      <c r="O90" s="270" t="n"/>
      <c r="P90" s="611" t="n"/>
      <c r="Q90" s="610" t="n"/>
      <c r="S90" s="443" t="n"/>
      <c r="T90" s="306" t="n"/>
      <c r="U90" s="443" t="n"/>
      <c r="V90" s="612" t="n"/>
    </row>
    <row r="91" hidden="1" s="486">
      <c r="B91" s="456" t="inlineStr">
        <is>
          <t>Unit I</t>
        </is>
      </c>
      <c r="C91" s="270" t="n"/>
      <c r="D91" s="611" t="inlineStr">
        <is>
          <t>add</t>
        </is>
      </c>
      <c r="E91" s="610">
        <f>'Pricing Worksheet'!AD105</f>
        <v/>
      </c>
      <c r="F91" s="440" t="inlineStr">
        <is>
          <t>Initial here ________ if you approve additional charge for our Seeded Organic™ texture.</t>
        </is>
      </c>
      <c r="G91" s="99" t="n"/>
      <c r="H91" s="99" t="n"/>
      <c r="I91" s="99" t="n"/>
      <c r="J91" s="99" t="n"/>
      <c r="K91" s="99" t="n"/>
      <c r="N91" s="290" t="n"/>
      <c r="O91" s="270" t="n"/>
      <c r="P91" s="611" t="n"/>
      <c r="Q91" s="610" t="n"/>
      <c r="S91" s="443" t="n"/>
      <c r="T91" s="443" t="n"/>
      <c r="U91" s="443" t="n"/>
      <c r="V91" s="443" t="n"/>
    </row>
    <row r="92" hidden="1" s="486">
      <c r="B92" s="456" t="inlineStr">
        <is>
          <t>Unit J</t>
        </is>
      </c>
      <c r="C92" s="270" t="n"/>
      <c r="D92" s="611" t="inlineStr">
        <is>
          <t>add</t>
        </is>
      </c>
      <c r="E92" s="610">
        <f>'Pricing Worksheet'!AG105</f>
        <v/>
      </c>
      <c r="F92" s="440" t="inlineStr">
        <is>
          <t>Initial here ________ if you approve additional charge for our Seeded Organic™ texture.</t>
        </is>
      </c>
      <c r="G92" s="99" t="n"/>
      <c r="H92" s="99" t="n"/>
      <c r="I92" s="99" t="n"/>
      <c r="J92" s="99" t="n"/>
      <c r="K92" s="99" t="n"/>
    </row>
    <row r="93">
      <c r="B93" s="457" t="inlineStr">
        <is>
          <t>**Due to the production processes required in the manufacture of our (Kiln / Cast) Seeded Organic® anti-slip texture, the product may develop some imperfections such as some slight distortion or small bubbles within the make-up of the laminated assembly. These will not affect the structural integrity of the glass panel nor shall they be considered a defect.**</t>
        </is>
      </c>
      <c r="C93" s="99" t="n"/>
      <c r="D93" s="99" t="n"/>
      <c r="E93" s="99" t="n"/>
      <c r="F93" s="99" t="n"/>
      <c r="G93" s="99" t="n"/>
      <c r="H93" s="99" t="n"/>
      <c r="I93" s="99" t="n"/>
      <c r="J93" s="99" t="n"/>
      <c r="K93" s="99" t="n"/>
    </row>
    <row r="94">
      <c r="B94" s="99" t="n"/>
      <c r="C94" s="99" t="n"/>
      <c r="D94" s="99" t="n"/>
      <c r="E94" s="99" t="n"/>
      <c r="F94" s="99" t="n"/>
      <c r="G94" s="99" t="n"/>
      <c r="H94" s="99" t="n"/>
      <c r="I94" s="99" t="n"/>
      <c r="J94" s="99" t="n"/>
      <c r="K94" s="99" t="n"/>
    </row>
    <row r="95">
      <c r="B95" s="99" t="n"/>
      <c r="C95" s="99" t="n"/>
      <c r="D95" s="99" t="n"/>
      <c r="E95" s="99" t="n"/>
      <c r="F95" s="99" t="n"/>
      <c r="G95" s="99" t="n"/>
      <c r="H95" s="99" t="n"/>
      <c r="I95" s="99" t="n"/>
      <c r="J95" s="99" t="n"/>
      <c r="K95" s="99" t="n"/>
    </row>
    <row r="96" ht="13" customHeight="1" s="486">
      <c r="A96" s="300" t="n"/>
      <c r="B96" s="290" t="n"/>
      <c r="C96" s="440" t="n"/>
      <c r="D96" s="440" t="n"/>
      <c r="E96" s="440" t="n"/>
      <c r="F96" s="440" t="n"/>
      <c r="G96" s="440" t="n"/>
      <c r="H96" s="440" t="n"/>
    </row>
    <row r="97" ht="13" customHeight="1" s="486">
      <c r="A97" s="300" t="n"/>
      <c r="B97" s="289" t="inlineStr">
        <is>
          <t>Add - NanoDot™ anti-slip texture (Optional)</t>
        </is>
      </c>
      <c r="C97" s="270" t="n"/>
      <c r="D97" s="611" t="n"/>
      <c r="E97" s="440" t="n"/>
      <c r="F97" s="440" t="n"/>
      <c r="G97" s="440" t="n"/>
      <c r="H97" s="440" t="n"/>
    </row>
    <row r="98">
      <c r="B98" s="456" t="inlineStr">
        <is>
          <t xml:space="preserve">Unit A </t>
        </is>
      </c>
      <c r="C98" s="270" t="n"/>
      <c r="D98" s="306" t="inlineStr">
        <is>
          <t>Add</t>
        </is>
      </c>
      <c r="E98" s="610">
        <f>'Pricing Worksheet'!F108</f>
        <v/>
      </c>
      <c r="F98" s="440" t="inlineStr">
        <is>
          <t>Initial here ________ if you approve additional charge for our NanoDot™ texture.</t>
        </is>
      </c>
      <c r="G98" s="99" t="n"/>
      <c r="H98" s="99" t="n"/>
      <c r="I98" s="99" t="n"/>
      <c r="J98" s="99" t="n"/>
      <c r="K98" s="99" t="n"/>
    </row>
    <row r="99" hidden="1" s="486">
      <c r="B99" s="456" t="inlineStr">
        <is>
          <t xml:space="preserve">Unit B </t>
        </is>
      </c>
      <c r="C99" s="270" t="n"/>
      <c r="D99" s="611" t="inlineStr">
        <is>
          <t>add</t>
        </is>
      </c>
      <c r="E99" s="610">
        <f>'Pricing Worksheet'!I108</f>
        <v/>
      </c>
      <c r="F99" s="440" t="inlineStr">
        <is>
          <t>Initial here ________ if you approve additional charge for our NanoDot™ texture.</t>
        </is>
      </c>
      <c r="G99" s="99" t="n"/>
      <c r="H99" s="99" t="n"/>
      <c r="I99" s="99" t="n"/>
      <c r="J99" s="99" t="n"/>
      <c r="K99" s="99" t="n"/>
    </row>
    <row r="100" hidden="1" s="486">
      <c r="B100" s="456" t="inlineStr">
        <is>
          <t>Unit C</t>
        </is>
      </c>
      <c r="C100" s="270" t="n"/>
      <c r="D100" s="611" t="inlineStr">
        <is>
          <t>add</t>
        </is>
      </c>
      <c r="E100" s="610">
        <f>'Pricing Worksheet'!L108</f>
        <v/>
      </c>
      <c r="F100" s="440" t="inlineStr">
        <is>
          <t>Initial here ________ if you approve additional charge for our NanoDot™ texture.</t>
        </is>
      </c>
      <c r="G100" s="99" t="n"/>
      <c r="H100" s="99" t="n"/>
      <c r="I100" s="99" t="n"/>
      <c r="J100" s="99" t="n"/>
      <c r="K100" s="99" t="n"/>
    </row>
    <row r="101" hidden="1" s="486">
      <c r="B101" s="456" t="inlineStr">
        <is>
          <t>Unit D</t>
        </is>
      </c>
      <c r="C101" s="270" t="n"/>
      <c r="D101" s="611" t="inlineStr">
        <is>
          <t>add</t>
        </is>
      </c>
      <c r="E101" s="610">
        <f>'Pricing Worksheet'!O108</f>
        <v/>
      </c>
      <c r="F101" s="440" t="inlineStr">
        <is>
          <t>Initial here ________ if you approve additional charge for our NanoDot™ texture.</t>
        </is>
      </c>
      <c r="G101" s="99" t="n"/>
      <c r="H101" s="99" t="n"/>
      <c r="I101" s="99" t="n"/>
      <c r="J101" s="99" t="n"/>
      <c r="K101" s="99" t="n"/>
    </row>
    <row r="102" hidden="1" s="486">
      <c r="B102" s="456" t="inlineStr">
        <is>
          <t>Unit E</t>
        </is>
      </c>
      <c r="C102" s="270" t="n"/>
      <c r="D102" s="611" t="inlineStr">
        <is>
          <t>add</t>
        </is>
      </c>
      <c r="E102" s="610">
        <f>'Pricing Worksheet'!R108</f>
        <v/>
      </c>
      <c r="F102" s="440" t="inlineStr">
        <is>
          <t>Initial here ________ if you approve additional charge for our NanoDot™ texture.</t>
        </is>
      </c>
      <c r="G102" s="99" t="n"/>
      <c r="H102" s="99" t="n"/>
      <c r="I102" s="99" t="n"/>
      <c r="J102" s="99" t="n"/>
      <c r="K102" s="99" t="n"/>
    </row>
    <row r="103" hidden="1" s="486">
      <c r="B103" s="456" t="inlineStr">
        <is>
          <t>Unit F</t>
        </is>
      </c>
      <c r="C103" s="270" t="n"/>
      <c r="D103" s="611" t="inlineStr">
        <is>
          <t>add</t>
        </is>
      </c>
      <c r="E103" s="610">
        <f>'Pricing Worksheet'!U108</f>
        <v/>
      </c>
      <c r="F103" s="440" t="inlineStr">
        <is>
          <t>Initial here ________ if you approve additional charge for our NanoDot™ texture.</t>
        </is>
      </c>
      <c r="G103" s="99" t="n"/>
      <c r="H103" s="99" t="n"/>
      <c r="I103" s="99" t="n"/>
      <c r="J103" s="99" t="n"/>
      <c r="K103" s="99" t="n"/>
    </row>
    <row r="104" hidden="1" s="486">
      <c r="B104" s="456" t="inlineStr">
        <is>
          <t>Unit G</t>
        </is>
      </c>
      <c r="C104" s="270" t="n"/>
      <c r="D104" s="611" t="inlineStr">
        <is>
          <t>add</t>
        </is>
      </c>
      <c r="E104" s="610">
        <f>'Pricing Worksheet'!X108</f>
        <v/>
      </c>
      <c r="F104" s="440" t="inlineStr">
        <is>
          <t>Initial here ________ if you approve additional charge for our NanoDot™ texture.</t>
        </is>
      </c>
      <c r="G104" s="99" t="n"/>
      <c r="H104" s="99" t="n"/>
      <c r="I104" s="99" t="n"/>
      <c r="J104" s="99" t="n"/>
      <c r="K104" s="99" t="n"/>
      <c r="N104" s="289" t="n"/>
      <c r="O104" s="270" t="n"/>
      <c r="P104" s="611" t="n"/>
      <c r="Q104" s="610" t="n"/>
      <c r="S104" s="443" t="n"/>
      <c r="T104" s="443" t="n"/>
      <c r="U104" s="443" t="n"/>
      <c r="V104" s="443" t="n"/>
    </row>
    <row r="105" hidden="1" s="486">
      <c r="B105" s="456" t="inlineStr">
        <is>
          <t>Unit H</t>
        </is>
      </c>
      <c r="C105" s="270" t="n"/>
      <c r="D105" s="611" t="inlineStr">
        <is>
          <t>add</t>
        </is>
      </c>
      <c r="E105" s="610">
        <f>'Pricing Worksheet'!AA108</f>
        <v/>
      </c>
      <c r="F105" s="440" t="inlineStr">
        <is>
          <t>Initial here ________ if you approve additional charge for our NanoDot™ texture.</t>
        </is>
      </c>
      <c r="G105" s="99" t="n"/>
      <c r="H105" s="99" t="n"/>
      <c r="I105" s="99" t="n"/>
      <c r="J105" s="99" t="n"/>
      <c r="K105" s="99" t="n"/>
      <c r="N105" s="456" t="n"/>
      <c r="O105" s="270" t="n"/>
      <c r="P105" s="611" t="n"/>
      <c r="Q105" s="610" t="n"/>
      <c r="S105" s="443" t="n"/>
      <c r="T105" s="306" t="n"/>
      <c r="U105" s="443" t="n"/>
      <c r="V105" s="612" t="n"/>
    </row>
    <row r="106" hidden="1" s="486">
      <c r="B106" s="456" t="inlineStr">
        <is>
          <t>Unit I</t>
        </is>
      </c>
      <c r="C106" s="270" t="n"/>
      <c r="D106" s="611" t="inlineStr">
        <is>
          <t>add</t>
        </is>
      </c>
      <c r="E106" s="610">
        <f>'Pricing Worksheet'!AD108</f>
        <v/>
      </c>
      <c r="F106" s="440" t="inlineStr">
        <is>
          <t>Initial here ________ if you approve additional charge for our NanoDot™ texture.</t>
        </is>
      </c>
      <c r="G106" s="99" t="n"/>
      <c r="H106" s="99" t="n"/>
      <c r="I106" s="99" t="n"/>
      <c r="J106" s="99" t="n"/>
      <c r="K106" s="99" t="n"/>
      <c r="N106" s="290" t="n"/>
      <c r="O106" s="270" t="n"/>
      <c r="P106" s="611" t="n"/>
      <c r="Q106" s="610" t="n"/>
      <c r="S106" s="443" t="n"/>
      <c r="T106" s="443" t="n"/>
      <c r="U106" s="443" t="n"/>
      <c r="V106" s="443" t="n"/>
    </row>
    <row r="107" hidden="1" s="486">
      <c r="B107" s="456" t="inlineStr">
        <is>
          <t>Unit J</t>
        </is>
      </c>
      <c r="C107" s="270" t="n"/>
      <c r="D107" s="611" t="inlineStr">
        <is>
          <t>add</t>
        </is>
      </c>
      <c r="E107" s="610">
        <f>'Pricing Worksheet'!AG108</f>
        <v/>
      </c>
      <c r="F107" s="440" t="inlineStr">
        <is>
          <t>Initial here ________ if you approve additional charge for our NanoDot™ texture.</t>
        </is>
      </c>
      <c r="G107" s="99" t="n"/>
      <c r="H107" s="99" t="n"/>
      <c r="I107" s="99" t="n"/>
      <c r="J107" s="99" t="n"/>
      <c r="K107" s="99" t="n"/>
    </row>
    <row r="108" hidden="1" ht="13" customHeight="1" s="486">
      <c r="A108" s="300" t="n"/>
      <c r="B108" s="456" t="inlineStr">
        <is>
          <t>* Lead time for Nano Dot is 10-12 weeks</t>
        </is>
      </c>
      <c r="C108" s="270" t="n"/>
      <c r="D108" s="611" t="n"/>
      <c r="E108" s="440" t="n"/>
      <c r="F108" s="440" t="n"/>
      <c r="G108" s="440" t="n"/>
      <c r="H108" s="440" t="n"/>
    </row>
    <row r="109" ht="13" customHeight="1" s="486">
      <c r="A109" s="300" t="n"/>
      <c r="B109" s="456" t="n"/>
      <c r="C109" s="270" t="n"/>
      <c r="D109" s="611" t="n"/>
      <c r="E109" s="440" t="n"/>
      <c r="F109" s="440" t="n"/>
      <c r="G109" s="440" t="n"/>
      <c r="H109" s="440" t="n"/>
    </row>
    <row r="110" hidden="1" ht="13" customHeight="1" s="486">
      <c r="A110" s="300" t="n"/>
      <c r="B110" s="289" t="inlineStr">
        <is>
          <t>Heat Soak Testing</t>
        </is>
      </c>
      <c r="C110" s="443" t="n"/>
      <c r="D110" s="443" t="n"/>
      <c r="E110" s="443" t="n"/>
      <c r="F110" s="443" t="n"/>
      <c r="G110" s="443" t="n"/>
      <c r="H110" s="306" t="n"/>
      <c r="I110" s="443" t="n"/>
      <c r="J110" s="613" t="n"/>
      <c r="K110" s="443" t="n"/>
    </row>
    <row r="111" hidden="1" s="486">
      <c r="B111" s="456" t="inlineStr">
        <is>
          <t xml:space="preserve">Unit A </t>
        </is>
      </c>
      <c r="C111" s="270" t="n"/>
      <c r="D111" s="611" t="inlineStr">
        <is>
          <t>add</t>
        </is>
      </c>
      <c r="E111" s="610">
        <f>'Pricing Worksheet'!F107</f>
        <v/>
      </c>
      <c r="F111" s="440" t="inlineStr">
        <is>
          <t>Initial here ________ if you approve additional charge for Heat Soak Testing.</t>
        </is>
      </c>
      <c r="G111" s="99" t="n"/>
      <c r="H111" s="99" t="n"/>
      <c r="I111" s="99" t="n"/>
      <c r="J111" s="99" t="n"/>
      <c r="K111" s="99" t="n"/>
    </row>
    <row r="112" hidden="1" s="486">
      <c r="B112" s="456" t="inlineStr">
        <is>
          <t xml:space="preserve">Unit B </t>
        </is>
      </c>
      <c r="C112" s="270" t="n"/>
      <c r="D112" s="611" t="inlineStr">
        <is>
          <t>add</t>
        </is>
      </c>
      <c r="E112" s="610">
        <f>'Pricing Worksheet'!I107</f>
        <v/>
      </c>
      <c r="F112" s="440" t="inlineStr">
        <is>
          <t>Initial here ________ if you approve additional charge for Heat Soak Testing.</t>
        </is>
      </c>
      <c r="G112" s="99" t="n"/>
      <c r="H112" s="99" t="n"/>
      <c r="I112" s="99" t="n"/>
      <c r="J112" s="99" t="n"/>
      <c r="K112" s="99" t="n"/>
    </row>
    <row r="113" hidden="1" s="486">
      <c r="B113" s="456" t="inlineStr">
        <is>
          <t>Unit C</t>
        </is>
      </c>
      <c r="C113" s="270" t="n"/>
      <c r="D113" s="611" t="inlineStr">
        <is>
          <t>add</t>
        </is>
      </c>
      <c r="E113" s="610">
        <f>'Pricing Worksheet'!L107</f>
        <v/>
      </c>
      <c r="F113" s="440" t="inlineStr">
        <is>
          <t>Initial here ________ if you approve additional charge for Heat Soak Testing.</t>
        </is>
      </c>
      <c r="G113" s="99" t="n"/>
      <c r="H113" s="99" t="n"/>
      <c r="I113" s="99" t="n"/>
      <c r="J113" s="99" t="n"/>
      <c r="K113" s="99" t="n"/>
    </row>
    <row r="114" hidden="1" s="486">
      <c r="B114" s="456" t="inlineStr">
        <is>
          <t>Unit D</t>
        </is>
      </c>
      <c r="C114" s="270" t="n"/>
      <c r="D114" s="611" t="inlineStr">
        <is>
          <t>add</t>
        </is>
      </c>
      <c r="E114" s="610">
        <f>'Pricing Worksheet'!O107</f>
        <v/>
      </c>
      <c r="F114" s="440" t="inlineStr">
        <is>
          <t>Initial here ________ if you approve additional charge for Heat Soak Testing.</t>
        </is>
      </c>
      <c r="G114" s="99" t="n"/>
      <c r="H114" s="99" t="n"/>
      <c r="I114" s="99" t="n"/>
      <c r="J114" s="99" t="n"/>
      <c r="K114" s="99" t="n"/>
    </row>
    <row r="115" hidden="1" s="486">
      <c r="B115" s="456" t="inlineStr">
        <is>
          <t>Unit E</t>
        </is>
      </c>
      <c r="C115" s="270" t="n"/>
      <c r="D115" s="611" t="inlineStr">
        <is>
          <t>add</t>
        </is>
      </c>
      <c r="E115" s="610">
        <f>'Pricing Worksheet'!R107</f>
        <v/>
      </c>
      <c r="F115" s="440" t="inlineStr">
        <is>
          <t>Initial here ________ if you approve additional charge for Heat Soak Testing.</t>
        </is>
      </c>
      <c r="G115" s="99" t="n"/>
      <c r="H115" s="99" t="n"/>
      <c r="I115" s="99" t="n"/>
      <c r="J115" s="99" t="n"/>
      <c r="K115" s="99" t="n"/>
    </row>
    <row r="116" hidden="1" s="486">
      <c r="B116" s="456" t="inlineStr">
        <is>
          <t>Unit F</t>
        </is>
      </c>
      <c r="C116" s="270" t="n"/>
      <c r="D116" s="611" t="inlineStr">
        <is>
          <t>add</t>
        </is>
      </c>
      <c r="E116" s="610">
        <f>'Pricing Worksheet'!U107</f>
        <v/>
      </c>
      <c r="F116" s="440" t="inlineStr">
        <is>
          <t>Initial here ________ if you approve additional charge for Heat Soak Testing.</t>
        </is>
      </c>
      <c r="G116" s="99" t="n"/>
      <c r="H116" s="99" t="n"/>
      <c r="I116" s="99" t="n"/>
      <c r="J116" s="99" t="n"/>
      <c r="K116" s="99" t="n"/>
    </row>
    <row r="117" hidden="1" s="486">
      <c r="B117" s="456" t="inlineStr">
        <is>
          <t>Unit G</t>
        </is>
      </c>
      <c r="C117" s="270" t="n"/>
      <c r="D117" s="611" t="inlineStr">
        <is>
          <t>add</t>
        </is>
      </c>
      <c r="E117" s="610">
        <f>'Pricing Worksheet'!X107</f>
        <v/>
      </c>
      <c r="F117" s="440" t="inlineStr">
        <is>
          <t>Initial here ________ if you approve additional charge for Heat Soak Testing.</t>
        </is>
      </c>
      <c r="G117" s="99" t="n"/>
      <c r="H117" s="99" t="n"/>
      <c r="I117" s="99" t="n"/>
      <c r="J117" s="99" t="n"/>
      <c r="K117" s="99" t="n"/>
      <c r="N117" s="289" t="n"/>
      <c r="O117" s="270" t="n"/>
      <c r="P117" s="611" t="n"/>
      <c r="Q117" s="610" t="n"/>
      <c r="S117" s="443" t="n"/>
      <c r="T117" s="443" t="n"/>
      <c r="U117" s="443" t="n"/>
      <c r="V117" s="443" t="n"/>
    </row>
    <row r="118" hidden="1" s="486">
      <c r="B118" s="456" t="inlineStr">
        <is>
          <t>Unit H</t>
        </is>
      </c>
      <c r="C118" s="270" t="n"/>
      <c r="D118" s="611" t="inlineStr">
        <is>
          <t>add</t>
        </is>
      </c>
      <c r="E118" s="610">
        <f>'Pricing Worksheet'!AA107</f>
        <v/>
      </c>
      <c r="F118" s="440" t="inlineStr">
        <is>
          <t>Initial here ________ if you approve additional charge for Heat Soak Testing.</t>
        </is>
      </c>
      <c r="G118" s="99" t="n"/>
      <c r="H118" s="99" t="n"/>
      <c r="I118" s="99" t="n"/>
      <c r="J118" s="99" t="n"/>
      <c r="K118" s="99" t="n"/>
      <c r="N118" s="456" t="n"/>
      <c r="O118" s="270" t="n"/>
      <c r="P118" s="611" t="n"/>
      <c r="Q118" s="610" t="n"/>
      <c r="S118" s="443" t="n"/>
      <c r="T118" s="306" t="n"/>
      <c r="U118" s="443" t="n"/>
      <c r="V118" s="612" t="n"/>
    </row>
    <row r="119" hidden="1" s="486">
      <c r="B119" s="456" t="inlineStr">
        <is>
          <t>Unit I</t>
        </is>
      </c>
      <c r="C119" s="270" t="n"/>
      <c r="D119" s="611" t="inlineStr">
        <is>
          <t>add</t>
        </is>
      </c>
      <c r="E119" s="610">
        <f>'Pricing Worksheet'!AD107</f>
        <v/>
      </c>
      <c r="F119" s="440" t="inlineStr">
        <is>
          <t>Initial here ________ if you approve additional charge for Heat Soak Testing.</t>
        </is>
      </c>
      <c r="G119" s="99" t="n"/>
      <c r="H119" s="99" t="n"/>
      <c r="I119" s="99" t="n"/>
      <c r="J119" s="99" t="n"/>
      <c r="K119" s="99" t="n"/>
      <c r="N119" s="290" t="n"/>
      <c r="O119" s="270" t="n"/>
      <c r="P119" s="611" t="n"/>
      <c r="Q119" s="610" t="n"/>
      <c r="S119" s="443" t="n"/>
      <c r="T119" s="443" t="n"/>
      <c r="U119" s="443" t="n"/>
      <c r="V119" s="443" t="n"/>
    </row>
    <row r="120" hidden="1" s="486">
      <c r="B120" s="456" t="inlineStr">
        <is>
          <t>Unit J</t>
        </is>
      </c>
      <c r="C120" s="270" t="n"/>
      <c r="D120" s="611" t="inlineStr">
        <is>
          <t>add</t>
        </is>
      </c>
      <c r="E120" s="610">
        <f>'Pricing Worksheet'!AG107</f>
        <v/>
      </c>
      <c r="F120" s="440" t="inlineStr">
        <is>
          <t>Initial here ________ if you approve additional charge for Heat Soak Testing.</t>
        </is>
      </c>
      <c r="G120" s="99" t="n"/>
      <c r="H120" s="99" t="n"/>
      <c r="I120" s="99" t="n"/>
      <c r="J120" s="99" t="n"/>
      <c r="K120" s="99" t="n"/>
    </row>
    <row r="121" hidden="1" ht="11" customHeight="1" s="486">
      <c r="A121" s="300" t="n"/>
      <c r="B121" s="290" t="n"/>
      <c r="C121" s="270" t="n"/>
      <c r="D121" s="611" t="n"/>
      <c r="E121" s="440" t="n"/>
      <c r="F121" s="440" t="n"/>
      <c r="G121" s="440" t="n"/>
      <c r="H121" s="440" t="n"/>
    </row>
    <row r="122">
      <c r="A122" s="300" t="n"/>
      <c r="B122" s="289" t="inlineStr">
        <is>
          <t>Shipping and Crating</t>
        </is>
      </c>
      <c r="C122" s="443" t="n"/>
      <c r="D122" s="443" t="n"/>
      <c r="E122" s="443" t="n"/>
      <c r="F122" s="443" t="n"/>
      <c r="G122" s="443" t="n"/>
      <c r="H122" s="306" t="inlineStr">
        <is>
          <t>Add</t>
        </is>
      </c>
      <c r="I122" s="443" t="n"/>
      <c r="J122" s="613">
        <f>681.01*1.1</f>
        <v/>
      </c>
      <c r="K122" s="436" t="inlineStr">
        <is>
          <t xml:space="preserve">Shipping to L6J 1G3 via common carrier </t>
        </is>
      </c>
    </row>
    <row r="123">
      <c r="A123" s="300" t="n"/>
      <c r="B123" s="290" t="inlineStr">
        <is>
          <t>Initial here ________ if you require shipping and crating and approve additional charge.</t>
        </is>
      </c>
      <c r="C123" s="443" t="n"/>
      <c r="D123" s="443" t="n"/>
      <c r="E123" s="443" t="n"/>
      <c r="F123" s="443" t="n"/>
      <c r="G123" s="443" t="n"/>
      <c r="H123" s="306" t="n"/>
      <c r="I123" s="443" t="n"/>
      <c r="J123" s="613" t="n"/>
      <c r="K123" s="415" t="inlineStr">
        <is>
          <t xml:space="preserve">HST &amp; Duty to be paid by purchaser </t>
        </is>
      </c>
    </row>
    <row r="124" ht="43" customHeight="1" s="486">
      <c r="A124" s="300" t="n"/>
      <c r="B124" s="446" t="inlineStr">
        <is>
          <t>Customers are responsible for the unloading of the shipping/delivery vehicles. This responsibility includes, but is not limited to, arranging for labor and securing the necessary material handling equipment. For any questions regarding the specifics of your shipment’s arrival, please contact us to ensure that you are fully prepared for the unloading process upon delivery.</t>
        </is>
      </c>
      <c r="C124" s="99" t="n"/>
      <c r="D124" s="99" t="n"/>
      <c r="E124" s="99" t="n"/>
      <c r="F124" s="99" t="n"/>
      <c r="G124" s="99" t="n"/>
      <c r="H124" s="99" t="n"/>
      <c r="I124" s="99" t="n"/>
      <c r="J124" s="99" t="n"/>
      <c r="K124" s="99" t="n"/>
    </row>
    <row r="125" ht="13" customHeight="1" s="486">
      <c r="A125" s="300" t="n"/>
      <c r="B125" s="457" t="inlineStr">
        <is>
          <t>**Due to current market conditions - shipping costs are estimated and subject to change. Final cost will be determined upon shipment date**</t>
        </is>
      </c>
      <c r="C125" s="99" t="n"/>
      <c r="D125" s="99" t="n"/>
      <c r="E125" s="99" t="n"/>
      <c r="F125" s="99" t="n"/>
      <c r="G125" s="99" t="n"/>
      <c r="H125" s="99" t="n"/>
      <c r="I125" s="99" t="n"/>
      <c r="J125" s="99" t="n"/>
      <c r="K125" s="99" t="n"/>
    </row>
    <row r="126" ht="13" customHeight="1" s="486">
      <c r="A126" s="300" t="n"/>
      <c r="B126" s="290" t="n"/>
      <c r="C126" s="443" t="n"/>
      <c r="D126" s="443" t="n"/>
      <c r="E126" s="443" t="n"/>
      <c r="F126" s="443" t="n"/>
      <c r="G126" s="443" t="n"/>
      <c r="H126" s="306" t="n"/>
      <c r="I126" s="443" t="n"/>
      <c r="J126" s="613" t="n"/>
      <c r="K126" s="443" t="n"/>
    </row>
    <row r="127">
      <c r="A127" s="300" t="n"/>
      <c r="B127" s="289" t="inlineStr">
        <is>
          <t>Lift gate service at delivery</t>
        </is>
      </c>
      <c r="C127" s="443" t="n"/>
      <c r="D127" s="443" t="n"/>
      <c r="E127" s="443" t="n"/>
      <c r="F127" s="443" t="n"/>
      <c r="G127" s="443" t="n"/>
      <c r="H127" s="306" t="inlineStr">
        <is>
          <t>Add</t>
        </is>
      </c>
      <c r="I127" s="443" t="n"/>
      <c r="J127" s="613" t="n">
        <v>145</v>
      </c>
      <c r="K127" s="443" t="n"/>
    </row>
    <row r="128">
      <c r="A128" s="300" t="n"/>
      <c r="B128" s="290" t="inlineStr">
        <is>
          <t>Initial here ________ if you require lift gate for delivery and approve additional charge as noted.</t>
        </is>
      </c>
      <c r="C128" s="443" t="n"/>
      <c r="D128" s="443" t="n"/>
      <c r="E128" s="443" t="n"/>
      <c r="F128" s="443" t="n"/>
      <c r="G128" s="443" t="n"/>
      <c r="H128" s="306" t="n"/>
      <c r="I128" s="443" t="n"/>
      <c r="J128" s="613" t="n"/>
      <c r="K128" s="443" t="n"/>
    </row>
    <row r="129" ht="13" customHeight="1" s="486">
      <c r="A129" s="300" t="n"/>
      <c r="B129" s="290" t="n"/>
      <c r="C129" s="443" t="n"/>
      <c r="D129" s="443" t="n"/>
      <c r="E129" s="443" t="n"/>
      <c r="F129" s="443" t="n"/>
      <c r="G129" s="443" t="n"/>
      <c r="H129" s="306" t="n"/>
      <c r="I129" s="443" t="n"/>
      <c r="J129" s="613" t="n"/>
      <c r="K129" s="443" t="n"/>
    </row>
    <row r="130">
      <c r="A130" s="300" t="n"/>
      <c r="B130" s="289" t="inlineStr">
        <is>
          <t>Engineering</t>
        </is>
      </c>
      <c r="C130" s="440" t="n"/>
      <c r="D130" s="440" t="n"/>
      <c r="E130" s="440" t="n"/>
      <c r="F130" s="440" t="n"/>
      <c r="G130" s="440" t="n"/>
      <c r="H130" s="440" t="n"/>
    </row>
    <row r="131" ht="65" customHeight="1" s="486">
      <c r="A131" s="300" t="n"/>
      <c r="B131" s="444" t="inlineStr">
        <is>
          <t xml:space="preserve">Glass Flooring Systems Inc. offers a wide range of pre-engineered products. Engineering is not included in this proposal. Glass Flooring Systems Inc. can provide a complete engineering analysis &amp; report including stamped shop drawings with glass specific calculations for each individual state. Each project has different engineering requirements. Please contact us if you require engineering. Glass Flooring Systems Inc. will provide pricing for engineering based on your requirements. It is the responsibility of the buyer to notify Glass Flooring Systems Inc. prior to ordering if the project requires an engineering report or stamped drawings. 
 </t>
        </is>
      </c>
      <c r="C131" s="99" t="n"/>
      <c r="D131" s="99" t="n"/>
      <c r="E131" s="99" t="n"/>
      <c r="F131" s="99" t="n"/>
      <c r="G131" s="99" t="n"/>
      <c r="H131" s="99" t="n"/>
      <c r="I131" s="99" t="n"/>
      <c r="J131" s="99" t="n"/>
      <c r="K131" s="99" t="n"/>
    </row>
    <row r="132" ht="13" customHeight="1" s="486">
      <c r="A132" s="300" t="n"/>
      <c r="B132" s="290" t="n"/>
      <c r="C132" s="443" t="n"/>
      <c r="D132" s="443" t="n"/>
      <c r="E132" s="443" t="n"/>
      <c r="F132" s="443" t="n"/>
      <c r="G132" s="443" t="n"/>
      <c r="H132" s="306" t="n"/>
      <c r="I132" s="443" t="n"/>
      <c r="J132" s="613" t="n"/>
      <c r="K132" s="443" t="n"/>
    </row>
    <row r="133" ht="13" customHeight="1" s="486">
      <c r="A133" s="308" t="n"/>
      <c r="B133" s="458" t="inlineStr">
        <is>
          <t>Exclusions (from Base Price)</t>
        </is>
      </c>
      <c r="C133" s="99" t="n"/>
      <c r="D133" s="99" t="n"/>
      <c r="E133" s="375" t="n"/>
      <c r="F133" s="375" t="n"/>
      <c r="G133" s="375" t="n"/>
      <c r="H133" s="375" t="n"/>
      <c r="I133" s="375" t="n"/>
      <c r="J133" s="375" t="n"/>
      <c r="K133" s="375" t="n"/>
    </row>
    <row r="134" ht="13" customHeight="1" s="486">
      <c r="A134" s="309" t="n"/>
      <c r="B134" s="440" t="inlineStr">
        <is>
          <t xml:space="preserve"> - Shipping </t>
        </is>
      </c>
      <c r="C134" s="459" t="n"/>
      <c r="D134" s="442" t="n"/>
      <c r="E134" s="442" t="n"/>
      <c r="G134" s="440" t="inlineStr">
        <is>
          <t xml:space="preserve"> - Waterproofing connection to frames</t>
        </is>
      </c>
      <c r="H134" s="442" t="n"/>
      <c r="I134" s="442" t="n"/>
    </row>
    <row r="135" ht="13" customHeight="1" s="486">
      <c r="A135" s="309" t="n"/>
      <c r="B135" s="440" t="inlineStr">
        <is>
          <t xml:space="preserve"> - Installation </t>
        </is>
      </c>
      <c r="C135" s="459" t="n"/>
      <c r="D135" s="442" t="n"/>
      <c r="E135" s="442" t="n"/>
      <c r="G135" s="440" t="inlineStr">
        <is>
          <t xml:space="preserve"> - Preparation of openings</t>
        </is>
      </c>
      <c r="H135" s="442" t="n"/>
      <c r="I135" s="442" t="n"/>
    </row>
    <row r="136" ht="13" customHeight="1" s="486">
      <c r="A136" s="309" t="n"/>
      <c r="B136" s="440" t="inlineStr">
        <is>
          <t xml:space="preserve"> - Engineering</t>
        </is>
      </c>
      <c r="C136" s="459" t="n"/>
      <c r="D136" s="442" t="n"/>
      <c r="E136" s="442" t="n"/>
      <c r="G136" s="440" t="inlineStr">
        <is>
          <t xml:space="preserve"> - Structural steel</t>
        </is>
      </c>
      <c r="H136" s="442" t="n"/>
      <c r="I136" s="442" t="n"/>
    </row>
    <row r="137" ht="13" customHeight="1" s="486">
      <c r="A137" s="309" t="n"/>
      <c r="B137" s="440" t="inlineStr">
        <is>
          <t xml:space="preserve"> - Unloading labor and material handling equipment at jobsite </t>
        </is>
      </c>
      <c r="C137" s="459" t="n"/>
      <c r="D137" s="442" t="n"/>
      <c r="E137" s="442" t="n"/>
      <c r="G137" s="440" t="inlineStr">
        <is>
          <t xml:space="preserve"> - LED lighting and wiring</t>
        </is>
      </c>
      <c r="H137" s="442" t="n"/>
      <c r="I137" s="442" t="n"/>
    </row>
    <row r="138" ht="13" customHeight="1" s="486">
      <c r="A138" s="309" t="n"/>
      <c r="B138" s="440" t="inlineStr">
        <is>
          <t xml:space="preserve"> - Hoisting </t>
        </is>
      </c>
      <c r="C138" s="459" t="n"/>
      <c r="D138" s="442" t="n"/>
      <c r="E138" s="442" t="n"/>
      <c r="G138" s="440" t="inlineStr">
        <is>
          <t xml:space="preserve"> - Any other materials or services not specifically called out in this proposal</t>
        </is>
      </c>
      <c r="H138" s="442" t="n"/>
      <c r="I138" s="442" t="n"/>
    </row>
    <row r="139" ht="13" customHeight="1" s="486">
      <c r="A139" s="309" t="n"/>
      <c r="B139" s="440" t="inlineStr">
        <is>
          <t xml:space="preserve"> - Fasteners or anchors of any kind </t>
        </is>
      </c>
      <c r="C139" s="459" t="n"/>
      <c r="D139" s="442" t="n"/>
      <c r="E139" s="442" t="n"/>
      <c r="F139" s="442" t="n"/>
      <c r="G139" s="442" t="n"/>
      <c r="H139" s="442" t="n"/>
      <c r="I139" s="442" t="n"/>
    </row>
    <row r="140" ht="13" customHeight="1" s="486">
      <c r="A140" s="309" t="n"/>
      <c r="C140" s="459" t="n"/>
      <c r="D140" s="442" t="n"/>
      <c r="E140" s="442" t="n"/>
      <c r="F140" s="442" t="n"/>
      <c r="G140" s="442" t="n"/>
      <c r="H140" s="442" t="n"/>
      <c r="I140" s="442" t="n"/>
    </row>
    <row r="141">
      <c r="B141" s="297" t="inlineStr">
        <is>
          <t>Terms and Conditions</t>
        </is>
      </c>
      <c r="C141" s="324" t="n"/>
      <c r="D141" s="324" t="n"/>
      <c r="E141" s="324" t="n"/>
      <c r="F141" s="324" t="n"/>
      <c r="G141" s="324" t="n"/>
      <c r="H141" s="324" t="n"/>
    </row>
    <row r="142" ht="13" customHeight="1" s="486">
      <c r="B142" s="459" t="inlineStr">
        <is>
          <t>1. All payments are to be made in US currency.</t>
        </is>
      </c>
      <c r="C142" s="99" t="n"/>
      <c r="D142" s="99" t="n"/>
      <c r="E142" s="99" t="n"/>
      <c r="F142" s="99" t="n"/>
      <c r="G142" s="99" t="n"/>
      <c r="H142" s="99" t="n"/>
      <c r="I142" s="99" t="n"/>
      <c r="J142" s="99" t="n"/>
      <c r="K142" s="99" t="n"/>
      <c r="L142" s="443" t="n"/>
    </row>
    <row r="143" ht="26" customHeight="1" s="486">
      <c r="B143" s="444" t="inlineStr">
        <is>
          <t>2. 50% deposit due upon acceptance of this proposal and is required before production will commence. Balance due upon completion of production and prior to shipping. We will notify you 24 hours prior to shipment. Please use Certified or next day mail for balance.</t>
        </is>
      </c>
      <c r="C143" s="99" t="n"/>
      <c r="D143" s="99" t="n"/>
      <c r="E143" s="99" t="n"/>
      <c r="F143" s="99" t="n"/>
      <c r="G143" s="99" t="n"/>
      <c r="H143" s="99" t="n"/>
      <c r="I143" s="99" t="n"/>
      <c r="J143" s="99" t="n"/>
      <c r="K143" s="99" t="n"/>
      <c r="L143" s="443" t="n"/>
    </row>
    <row r="144" ht="52" customHeight="1" s="486">
      <c r="B144" s="444" t="inlineStr">
        <is>
          <t>3. Effective January 1, 2025, Glass Flooring Systems will be collecting sales tax in the states of California, Massachusetts, New Jersey, and New York. Customers located in these states will be charged the applicable sales tax rate as required by law. If your organization is exempt from sales tax, you must provide a valid sales tax exemption certificate at the time of signing our proposal and customer contact form to ensure that sales tax is not applied to your purchase.</t>
        </is>
      </c>
      <c r="C144" s="99" t="n"/>
      <c r="D144" s="99" t="n"/>
      <c r="E144" s="99" t="n"/>
      <c r="F144" s="99" t="n"/>
      <c r="G144" s="99" t="n"/>
      <c r="H144" s="99" t="n"/>
      <c r="I144" s="99" t="n"/>
      <c r="J144" s="99" t="n"/>
      <c r="K144" s="99" t="n"/>
      <c r="L144" s="443" t="n"/>
    </row>
    <row r="145" ht="55" customHeight="1" s="486">
      <c r="B145" s="445" t="inlineStr">
        <is>
          <t>4. Shipping is FOB from Glass Flooring Systems facility in Sparta, NJ. All freight shipped with Glass Flooring Systems, Inc. carrier is insured. Quoted shipping is LTL shipping. For oversized freight and projects with time sensitive schedules GFS highly recommends shipping with either a dedicated truck or a secured bulkhead. GFS can provide costs for these options if requested. Unloading of delivery trucks is the sole responsibility of the customer. Customer to provide all required labor and or material handling equipment which may be needed to unload delivery vehicles.</t>
        </is>
      </c>
      <c r="L145" s="318" t="n"/>
    </row>
    <row r="146" ht="39" customHeight="1" s="486">
      <c r="B146" s="441" t="inlineStr">
        <is>
          <t>5. Cancellation Costs: Customers who cancel any orders after items are manufactured will be charged full price for such items. Partially manufactured items will be charged at a pro-rated price. Administrative costs will be charged to customers on a project-by-project basis at Glass Flooring Systems discretion. 50% deposits are non-refundable.</t>
        </is>
      </c>
      <c r="L146" s="443" t="n"/>
    </row>
    <row r="147" ht="13" customHeight="1" s="486">
      <c r="B147" s="441" t="inlineStr">
        <is>
          <t>6. Please note the industry standard tolerances for laminated glass is +1/4”, – 1/8”</t>
        </is>
      </c>
      <c r="L147" s="443" t="n"/>
    </row>
    <row r="148" ht="13" customHeight="1" s="486">
      <c r="B148" s="441" t="inlineStr">
        <is>
          <t>7. Quotes are valid for 30 days. After such times prices are subject to change without notice and a new quote will need to be provided.</t>
        </is>
      </c>
      <c r="L148" s="443" t="n"/>
    </row>
    <row r="149" ht="26" customFormat="1" customHeight="1" s="443">
      <c r="B149" s="441" t="inlineStr">
        <is>
          <t>8. Due to current market conditions final lead time for this project will be confirmed at the time of shop drawing approval. Any damage or breakage during the tempering and laminating processes could cause the lead time to be adjusted.</t>
        </is>
      </c>
    </row>
    <row r="150" ht="26" customFormat="1" customHeight="1" s="443">
      <c r="B150" s="441" t="inlineStr">
        <is>
          <t xml:space="preserve">9. If shop drawings are not approved within 60 days of placing the order Glass Flooring Systems will have the right to review and revise pricing, if necessary, due to changes which may have occurred in market. </t>
        </is>
      </c>
    </row>
    <row r="151" ht="13" customFormat="1" customHeight="1" s="443">
      <c r="B151" s="441" t="inlineStr">
        <is>
          <t>10.Glass Flooring Systems, Inc. is not responsible for any breakage/damage during installation.</t>
        </is>
      </c>
    </row>
    <row r="152" ht="39" customHeight="1" s="486">
      <c r="B152" s="441" t="inlineStr">
        <is>
          <t>11. It is agreed that Glass Flooring Systems, Inc. shall not be subject to liquidated damages, charges, back charges, penalties or liability whatsoever of any kind for delayed delivery due to strikes, slow-downs, floods, fires, accidents, contingencies of transportation, embargoes, inability to obtain raw materials, or any other cause beyond the control of Glass Flooring Systems, Inc.</t>
        </is>
      </c>
      <c r="L152" s="443" t="n"/>
    </row>
    <row r="153" ht="52" customHeight="1" s="486">
      <c r="B153" s="441" t="inlineStr">
        <is>
          <t>12. The products included in this price quote are specified and approved by the customer, who assumes full responsibility for any errors or omissions in specifying or ordering same. Glass Flooring Systems Inc. assumes full responsibility for the accuracy of the shop drawings prepared by Glass Flooring Systems, Inc. however Customer assumes full responsibility for the error and omissions in the data supplied to Glass Flooring Systems, Inc. from which Glass Flooring Systems, Inc. prepares shop drawings.</t>
        </is>
      </c>
      <c r="L153" s="443" t="n"/>
    </row>
    <row r="154" ht="39" customHeight="1" s="486">
      <c r="B154" s="441" t="inlineStr">
        <is>
          <t>13. Acceptance of this proposal shall be acceptance of all terms and conditions recited herein, which shall supersede any conflicting terms in any other contract document. Agreement of this quote and these terms shall be evidenced by Customer’s signature heron by permitting Glass Flooring Systems, Inc. to commence work for this order.</t>
        </is>
      </c>
      <c r="L154" s="443" t="n"/>
    </row>
    <row r="155" ht="26" customHeight="1" s="486">
      <c r="B155" s="441" t="inlineStr">
        <is>
          <t>14. Should Glass Flooring Systems, Inc. be required to store finished material at Customer’s request, Customer agrees to reimburse Glass Flooring Systems, Inc. for all storage fees incurred by Glass Flooring Systems, Inc. and pay for the material being stored in full within Glass Flooring Systems, Inc. terms.</t>
        </is>
      </c>
      <c r="L155" s="443" t="n"/>
    </row>
    <row r="156" ht="52" customHeight="1" s="486">
      <c r="B156" s="441" t="inlineStr">
        <is>
          <t>15. Glass Flooring Systems, Inc. will manufacture from approved shop drawings only. The Customer is responsible to ensure what is incorporated into the shop drawings is in acceptance with the contract documents, plans and specifications, all applicable local laws and regulations, building codes and any federal, state, county and municipal codes. The structural integrity of the opening in which Glass Flooring Systems, Inc. products will sit is the responsibility of our customer in accordance with design requirements as well as the product’s suitability for this project.</t>
        </is>
      </c>
      <c r="L156" s="443" t="n"/>
    </row>
    <row r="157" ht="39" customHeight="1" s="486">
      <c r="B157" s="441" t="inlineStr">
        <is>
          <t>16. When you receive your order, please inspect your entire order and notify Glass Flooring Systems, Inc. within 1 business day after receipt regarding any damages or questions and concerns related to the order. Unless so notified, Glass Flooring Systems, Inc. assumes no responsibility for the replacement of damaged glass or any labor cost associated with replacement.</t>
        </is>
      </c>
      <c r="L157" s="443" t="n"/>
    </row>
    <row r="158" ht="13" customHeight="1" s="486">
      <c r="B158" s="441" t="inlineStr">
        <is>
          <t>17. Terms of this agreement and the enforcement of same will be governed by the laws of the state of New Jersey.</t>
        </is>
      </c>
      <c r="L158" s="443" t="n"/>
    </row>
    <row r="159" ht="39" customHeight="1" s="486">
      <c r="B159" s="441" t="inlineStr">
        <is>
          <t>18. Any action arising out of this contract must be commenced in the New Jersey Supreme Court in the county of Sussex. By signing this agreement, Purchaser is consenting to the jurisdiction of the New Jersey Supreme Court in the County of Sussex and in any action arising out of this contract Purchaser will not be able to object that this court does not have jurisdiction over Purchaser.</t>
        </is>
      </c>
      <c r="L159" s="443" t="n"/>
    </row>
    <row r="160" ht="26" customHeight="1" s="486">
      <c r="B160" s="441" t="inlineStr">
        <is>
          <t>19. If the seller brings an action against Purchaser to enforce this agreement or collect payment, Seller will be entitled to reasonable attorney’s fees and costs associated with such action.</t>
        </is>
      </c>
      <c r="L160" s="443" t="n"/>
    </row>
    <row r="161" ht="42" customHeight="1" s="486">
      <c r="B161" s="441" t="inlineStr">
        <is>
          <t xml:space="preserve">20. The following anti-slip textures are included in the base price. Bel Air T, Gramercy T, Greenwich T, Hudson T, Soho T, Tribeca T, Bel Air S, Brentwood S, Georgetown S, Greenwich S, Hudson S, Madison S, Park S, Soho S, Tahoe S, Williamsburg S, Hudson X and Yorlux. Add 4-6 weeks to your quoted lead time and additional costs are to be determined at shop drawing phase when jumbo anti-slip textures are required.  </t>
        </is>
      </c>
      <c r="L161" s="443" t="n"/>
    </row>
    <row r="162">
      <c r="B162" s="297" t="inlineStr">
        <is>
          <t>Sign and date below to accept the terms of this quote.</t>
        </is>
      </c>
      <c r="C162" s="324" t="n"/>
      <c r="D162" s="324" t="n"/>
      <c r="E162" s="324" t="n"/>
      <c r="F162" s="324" t="n"/>
      <c r="G162" s="324" t="n"/>
      <c r="H162" s="324" t="n"/>
    </row>
    <row r="163" ht="13" customHeight="1" s="486">
      <c r="C163" s="440" t="n"/>
      <c r="D163" s="440" t="n"/>
      <c r="E163" s="440" t="n"/>
      <c r="F163" s="440" t="n"/>
      <c r="G163" s="440" t="n"/>
      <c r="H163" s="440" t="n"/>
    </row>
    <row r="164" ht="13" customHeight="1" s="486">
      <c r="C164" s="440" t="n"/>
      <c r="D164" s="440" t="n"/>
      <c r="E164" s="440" t="n"/>
      <c r="F164" s="440" t="n"/>
      <c r="G164" s="440" t="n"/>
      <c r="H164" s="440" t="n"/>
    </row>
    <row r="165" ht="13" customHeight="1" s="486">
      <c r="C165" s="324" t="n"/>
      <c r="D165" s="324" t="n"/>
      <c r="E165" s="324" t="n"/>
      <c r="F165" s="324" t="n"/>
      <c r="G165" s="324" t="n"/>
      <c r="H165" s="324" t="n"/>
    </row>
    <row r="166" ht="13" customHeight="1" s="486">
      <c r="B166" s="456" t="inlineStr">
        <is>
          <t>Accepted</t>
        </is>
      </c>
      <c r="C166" s="325" t="n"/>
      <c r="D166" s="325" t="n"/>
      <c r="E166" s="325" t="n"/>
      <c r="F166" s="325" t="n"/>
      <c r="G166" s="325" t="n"/>
      <c r="H166" s="326" t="inlineStr">
        <is>
          <t>Date</t>
        </is>
      </c>
      <c r="J166" s="310" t="n"/>
      <c r="K166" s="310" t="n"/>
    </row>
    <row r="167" ht="13" customHeight="1" s="486">
      <c r="C167" s="440" t="n"/>
      <c r="D167" s="440" t="n"/>
      <c r="E167" s="440" t="n"/>
      <c r="F167" s="440" t="n"/>
      <c r="G167" s="440" t="n"/>
      <c r="H167" s="440" t="n"/>
    </row>
    <row r="168" ht="13" customHeight="1" s="486"/>
    <row r="169" ht="13" customHeight="1" s="486">
      <c r="B169" s="456" t="n"/>
      <c r="C169" s="324" t="n"/>
      <c r="D169" s="324" t="n"/>
      <c r="E169" s="324" t="n"/>
      <c r="F169" s="324" t="n"/>
      <c r="G169" s="324" t="n"/>
      <c r="H169" s="327" t="n"/>
    </row>
    <row r="170" ht="14" customHeight="1" s="486">
      <c r="C170" s="443" t="n"/>
      <c r="D170" s="324" t="n"/>
      <c r="E170" s="443" t="n"/>
      <c r="F170" s="443" t="n"/>
      <c r="G170" s="443" t="n"/>
      <c r="H170" s="443" t="n"/>
      <c r="I170" s="443" t="n"/>
      <c r="J170" s="443" t="n"/>
      <c r="K170" s="443" t="n"/>
      <c r="L170" s="443" t="n"/>
    </row>
    <row r="171" ht="13" customHeight="1" s="486">
      <c r="B171" s="328" t="n"/>
      <c r="C171" s="443" t="n"/>
      <c r="D171" s="443" t="n"/>
      <c r="E171" s="443" t="n"/>
      <c r="F171" s="443" t="n"/>
      <c r="G171" s="443" t="n"/>
      <c r="H171" s="443" t="n"/>
      <c r="I171" s="443" t="n"/>
      <c r="J171" s="443" t="n"/>
      <c r="K171" s="443" t="n"/>
      <c r="L171" s="443" t="n"/>
    </row>
    <row r="172" ht="13" customHeight="1" s="486">
      <c r="A172" s="311" t="n"/>
      <c r="C172" s="440" t="n"/>
      <c r="D172" s="440" t="n"/>
      <c r="E172" s="440" t="n"/>
      <c r="F172" s="440" t="n"/>
      <c r="G172" s="440" t="n"/>
      <c r="H172" s="440" t="n"/>
    </row>
    <row r="173" ht="13" customHeight="1" s="486">
      <c r="A173" s="311" t="n"/>
      <c r="C173" s="440" t="n"/>
      <c r="D173" s="440" t="n"/>
      <c r="E173" s="440" t="n"/>
      <c r="F173" s="440" t="n"/>
      <c r="G173" s="440" t="n"/>
      <c r="H173" s="440" t="n"/>
    </row>
    <row r="174" ht="13" customHeight="1" s="486">
      <c r="C174" s="440" t="n"/>
      <c r="D174" s="440" t="n"/>
      <c r="E174" s="440" t="n"/>
      <c r="F174" s="440" t="n"/>
      <c r="G174" s="440" t="n"/>
      <c r="H174" s="440" t="n"/>
    </row>
    <row r="175" ht="13" customHeight="1" s="486">
      <c r="C175" s="440" t="n"/>
      <c r="D175" s="440" t="n"/>
      <c r="E175" s="440" t="n"/>
      <c r="F175" s="440" t="n"/>
      <c r="G175" s="440" t="n"/>
      <c r="H175" s="440" t="n"/>
    </row>
    <row r="176">
      <c r="C176" s="440" t="n"/>
      <c r="D176" s="440" t="n"/>
      <c r="E176" s="440" t="n"/>
      <c r="F176" s="440" t="n"/>
      <c r="G176" s="440" t="n"/>
      <c r="H176" s="440" t="n"/>
    </row>
    <row r="177">
      <c r="C177" s="440" t="n"/>
      <c r="D177" s="440" t="n"/>
      <c r="E177" s="440" t="n"/>
      <c r="F177" s="440" t="n"/>
      <c r="G177" s="440" t="n"/>
      <c r="H177" s="440" t="n"/>
    </row>
    <row r="178">
      <c r="C178" s="440" t="n"/>
      <c r="D178" s="440" t="n"/>
      <c r="E178" s="440" t="n"/>
      <c r="F178" s="440" t="n"/>
      <c r="G178" s="440" t="n"/>
      <c r="H178" s="440" t="n"/>
    </row>
    <row r="179">
      <c r="C179" s="440" t="n"/>
      <c r="D179" s="440" t="n"/>
      <c r="E179" s="440" t="n"/>
      <c r="F179" s="440" t="n"/>
      <c r="G179" s="440" t="n"/>
      <c r="H179" s="440" t="n"/>
    </row>
    <row r="180">
      <c r="C180" s="440" t="n"/>
      <c r="D180" s="440" t="n"/>
      <c r="E180" s="440" t="n"/>
      <c r="F180" s="440" t="n"/>
      <c r="G180" s="440" t="n"/>
      <c r="H180" s="440" t="n"/>
    </row>
    <row r="181">
      <c r="C181" s="440" t="n"/>
      <c r="D181" s="440" t="n"/>
      <c r="E181" s="440" t="n"/>
      <c r="F181" s="440" t="n"/>
      <c r="G181" s="440" t="n"/>
      <c r="H181" s="440" t="n"/>
    </row>
    <row r="182">
      <c r="C182" s="440" t="n"/>
      <c r="D182" s="440" t="n"/>
      <c r="E182" s="440" t="n"/>
      <c r="F182" s="440" t="n"/>
      <c r="G182" s="440" t="n"/>
      <c r="H182" s="440" t="n"/>
    </row>
    <row r="183">
      <c r="C183" s="440" t="n"/>
      <c r="D183" s="440" t="n"/>
      <c r="E183" s="440" t="n"/>
      <c r="F183" s="440" t="n"/>
      <c r="G183" s="440" t="n"/>
      <c r="H183" s="440" t="n"/>
    </row>
    <row r="184">
      <c r="C184" s="440" t="n"/>
      <c r="D184" s="440" t="n"/>
      <c r="E184" s="440" t="n"/>
      <c r="F184" s="440" t="n"/>
      <c r="G184" s="440" t="n"/>
      <c r="H184" s="440" t="n"/>
    </row>
    <row r="185">
      <c r="C185" s="440" t="n"/>
      <c r="D185" s="440" t="n"/>
      <c r="E185" s="440" t="n"/>
      <c r="F185" s="440" t="n"/>
      <c r="G185" s="440" t="n"/>
      <c r="H185" s="440" t="n"/>
    </row>
    <row r="186">
      <c r="C186" s="440" t="n"/>
      <c r="D186" s="440" t="n"/>
      <c r="E186" s="440" t="n"/>
      <c r="F186" s="440" t="n"/>
      <c r="G186" s="440" t="n"/>
      <c r="H186" s="440" t="n"/>
    </row>
    <row r="187">
      <c r="C187" s="440" t="n"/>
      <c r="D187" s="440" t="n"/>
      <c r="E187" s="440" t="n"/>
      <c r="F187" s="440" t="n"/>
      <c r="G187" s="440" t="n"/>
      <c r="H187" s="440" t="n"/>
    </row>
    <row r="188">
      <c r="C188" s="440" t="n"/>
      <c r="D188" s="440" t="n"/>
      <c r="E188" s="440" t="n"/>
      <c r="F188" s="440" t="n"/>
      <c r="G188" s="440" t="n"/>
      <c r="H188" s="440" t="n"/>
    </row>
    <row r="189">
      <c r="C189" s="440" t="n"/>
      <c r="D189" s="440" t="n"/>
      <c r="E189" s="440" t="n"/>
      <c r="F189" s="440" t="n"/>
      <c r="G189" s="440" t="n"/>
      <c r="H189" s="440" t="n"/>
    </row>
    <row r="190">
      <c r="B190" s="311" t="n"/>
      <c r="C190" s="440" t="n"/>
    </row>
    <row r="191">
      <c r="B191" s="311" t="n"/>
      <c r="C191" s="440" t="n"/>
    </row>
    <row r="192">
      <c r="B192" s="311" t="n"/>
      <c r="C192" s="440" t="n"/>
    </row>
  </sheetData>
  <mergeCells count="103">
    <mergeCell ref="F104:K104"/>
    <mergeCell ref="F113:K113"/>
    <mergeCell ref="B143:K143"/>
    <mergeCell ref="F114:K114"/>
    <mergeCell ref="B158:K158"/>
    <mergeCell ref="F106:K106"/>
    <mergeCell ref="J28:K28"/>
    <mergeCell ref="B142:K142"/>
    <mergeCell ref="B80:K80"/>
    <mergeCell ref="B77:C77"/>
    <mergeCell ref="F90:K90"/>
    <mergeCell ref="B160:K160"/>
    <mergeCell ref="F22:H22"/>
    <mergeCell ref="D76:H76"/>
    <mergeCell ref="B144:K144"/>
    <mergeCell ref="B125:K125"/>
    <mergeCell ref="B159:K159"/>
    <mergeCell ref="B133:D133"/>
    <mergeCell ref="B69:C69"/>
    <mergeCell ref="D75:H75"/>
    <mergeCell ref="F117:K117"/>
    <mergeCell ref="B78:C78"/>
    <mergeCell ref="B161:K161"/>
    <mergeCell ref="J31:K31"/>
    <mergeCell ref="F119:K119"/>
    <mergeCell ref="F116:K116"/>
    <mergeCell ref="D69:I69"/>
    <mergeCell ref="F103:K103"/>
    <mergeCell ref="F84:K84"/>
    <mergeCell ref="F118:K118"/>
    <mergeCell ref="B18:J18"/>
    <mergeCell ref="C3:D3"/>
    <mergeCell ref="F86:K86"/>
    <mergeCell ref="B146:K146"/>
    <mergeCell ref="B124:K124"/>
    <mergeCell ref="C4:D4"/>
    <mergeCell ref="I23:K23"/>
    <mergeCell ref="F105:K105"/>
    <mergeCell ref="J27:K27"/>
    <mergeCell ref="B150:K150"/>
    <mergeCell ref="F120:K120"/>
    <mergeCell ref="F107:K107"/>
    <mergeCell ref="B152:K152"/>
    <mergeCell ref="J22:K22"/>
    <mergeCell ref="D74:H74"/>
    <mergeCell ref="B145:K145"/>
    <mergeCell ref="F99:K99"/>
    <mergeCell ref="F83:K83"/>
    <mergeCell ref="B147:K147"/>
    <mergeCell ref="J29:K29"/>
    <mergeCell ref="B72:C72"/>
    <mergeCell ref="F85:K85"/>
    <mergeCell ref="B17:J17"/>
    <mergeCell ref="B71:C71"/>
    <mergeCell ref="B58:C58"/>
    <mergeCell ref="B63:K63"/>
    <mergeCell ref="B154:K154"/>
    <mergeCell ref="B19:J19"/>
    <mergeCell ref="J24:K24"/>
    <mergeCell ref="B60:C60"/>
    <mergeCell ref="B156:K156"/>
    <mergeCell ref="J26:K26"/>
    <mergeCell ref="B155:K155"/>
    <mergeCell ref="B149:K149"/>
    <mergeCell ref="F98:K98"/>
    <mergeCell ref="J25:K25"/>
    <mergeCell ref="D71:H71"/>
    <mergeCell ref="F88:K88"/>
    <mergeCell ref="B151:K151"/>
    <mergeCell ref="B93:K95"/>
    <mergeCell ref="B14:K14"/>
    <mergeCell ref="D73:H73"/>
    <mergeCell ref="B76:C76"/>
    <mergeCell ref="K69:K78"/>
    <mergeCell ref="B75:C75"/>
    <mergeCell ref="B59:C59"/>
    <mergeCell ref="F101:K101"/>
    <mergeCell ref="F91:K91"/>
    <mergeCell ref="F100:K100"/>
    <mergeCell ref="B70:C70"/>
    <mergeCell ref="J30:K30"/>
    <mergeCell ref="D77:H77"/>
    <mergeCell ref="F115:K115"/>
    <mergeCell ref="B153:K153"/>
    <mergeCell ref="F102:K102"/>
    <mergeCell ref="F111:K111"/>
    <mergeCell ref="B16:K16"/>
    <mergeCell ref="D70:H70"/>
    <mergeCell ref="F92:K92"/>
    <mergeCell ref="B73:C73"/>
    <mergeCell ref="B131:K131"/>
    <mergeCell ref="C2:D2"/>
    <mergeCell ref="D72:H72"/>
    <mergeCell ref="D78:H78"/>
    <mergeCell ref="J32:K32"/>
    <mergeCell ref="F112:K112"/>
    <mergeCell ref="F87:K87"/>
    <mergeCell ref="B74:C74"/>
    <mergeCell ref="B57:K57"/>
    <mergeCell ref="B148:K148"/>
    <mergeCell ref="B157:K157"/>
    <mergeCell ref="J33:K33"/>
    <mergeCell ref="F89:K89"/>
  </mergeCells>
  <hyperlinks>
    <hyperlink xmlns:r="http://schemas.openxmlformats.org/officeDocument/2006/relationships" ref="B11" r:id="rId1"/>
  </hyperlinks>
  <printOptions horizontalCentered="1"/>
  <pageMargins left="0.25" right="0.25" top="0.25" bottom="0.25" header="0.5" footer="0.1"/>
  <pageSetup orientation="portrait" scale="74" fitToHeight="0"/>
  <drawing xmlns:r="http://schemas.openxmlformats.org/officeDocument/2006/relationships" r:id="rId2"/>
</worksheet>
</file>

<file path=xl/worksheets/sheet3.xml><?xml version="1.0" encoding="utf-8"?>
<worksheet xmlns="http://schemas.openxmlformats.org/spreadsheetml/2006/main">
  <sheetPr>
    <outlinePr summaryBelow="1" summaryRight="1"/>
    <pageSetUpPr/>
  </sheetPr>
  <dimension ref="A4:K61"/>
  <sheetViews>
    <sheetView zoomScale="150" zoomScaleNormal="150" zoomScalePageLayoutView="150" workbookViewId="0">
      <selection activeCell="B7" sqref="B7"/>
    </sheetView>
  </sheetViews>
  <sheetFormatPr baseColWidth="10" defaultColWidth="11.5" defaultRowHeight="13"/>
  <cols>
    <col width="27.33203125" customWidth="1" style="443" min="1" max="1"/>
    <col width="11" customWidth="1" style="443" min="2" max="2"/>
    <col width="11.5" customWidth="1" style="443" min="3" max="16384"/>
  </cols>
  <sheetData>
    <row r="4" ht="20" customFormat="1" customHeight="1" s="314">
      <c r="A4" s="313" t="inlineStr">
        <is>
          <t>Series 1000 Pedestal TB FA</t>
        </is>
      </c>
      <c r="B4" s="269" t="inlineStr">
        <is>
          <t xml:space="preserve">Thank you for your interest in Glass Flooring Systems. The following quote is for (X) XX" x XX" fully assembled ICC approved Series 1000 SkyFloor® walkable skylights. These are complete units which consist of our proprietary, thermally broken structural pedestal framing with integrated setting gasket and structural walkable glass panels with tested anti-slip top layer. They come fully assembled with the walkable glass panels bonded to the frames with Dow Corning 995 silicone. The make up of the glass panels is listed below. Please review and let us know if you have any questions or need any additional information. </t>
        </is>
      </c>
    </row>
    <row r="5" ht="20" customFormat="1" customHeight="1" s="314">
      <c r="A5" s="313" t="inlineStr">
        <is>
          <t>Series 1000 Pedestal TB KD</t>
        </is>
      </c>
      <c r="B5" s="269" t="inlineStr">
        <is>
          <t xml:space="preserve">Thank you for your interest in Glass Flooring Systems. The following quote is for (X) XX" x XX" ICC approved Series 1000 SkyFloor® walkable skylights. These are complete systems which consist of our proprietary, thermally broken structural pedestal framing with integrated setting gaskets and structural walkable glass panels with tested anti-slip top layer. The make up of the glass panels is listed below. Please review and let us know if you have any questions or need any additional information. </t>
        </is>
      </c>
    </row>
    <row r="6" ht="20" customFormat="1" customHeight="1" s="314">
      <c r="A6" s="313" t="inlineStr">
        <is>
          <t>Series 1000 Recessed TB FA</t>
        </is>
      </c>
      <c r="B6" s="269" t="inlineStr">
        <is>
          <t xml:space="preserve">Thank you for your interest in Glass Flooring Systems. The following quote is for (X) XX" x XX" fully assembled ICC approved Series 1000 SkyFloor® walkable skylights. These are complete units which consist of our proprietary structural, thermally broken, recessed framing with integrated setting gaskets, LED light channel and structural walkable glass panels with tested anti-slip top layer. They come fully assembled with the walkable glass panels bonded to the frames with Dow Corning 995 silicone. The make up of the glass panels is listed below. Please review and let us know if you have any questions or need any additional information. </t>
        </is>
      </c>
    </row>
    <row r="7" ht="20" customFormat="1" customHeight="1" s="314">
      <c r="A7" s="313" t="inlineStr">
        <is>
          <t>Series 1000 Recessed TB KD</t>
        </is>
      </c>
      <c r="B7" s="269" t="inlineStr">
        <is>
          <t xml:space="preserve">Thank you for your interest in Glass Flooring Systems. The following quote is for (X) XX" x XX" ICC approved Series 1000 SkyFloor® walkable skylights. These are complete systems which consist of our proprietary structural, thermally broken, recessed framing with integrated setting gaskets and structural walkable glass panels with tested anti-slip top layer. The make up of the glass panels is listed below. Please review and let us know if you have any questions or need any additional information. </t>
        </is>
      </c>
    </row>
    <row r="8" ht="20" customFormat="1" customHeight="1" s="314">
      <c r="A8" s="313" t="inlineStr">
        <is>
          <t>Series 1000 Interior Recessed FA</t>
        </is>
      </c>
      <c r="B8" s="269" t="inlineStr">
        <is>
          <t xml:space="preserve">Thank you for your interest in Glass Flooring Systems. The following quote is for (X) XX" x XX" fully assembled SkyFloor® interior glass flooring system. This is a complete system consisting of the walkable glass panels with tested anti-slip texture and our structural recessed interior floor framing with integrated setting gaskets and LED light channel. The make up of the glass panels is listed below. Please review and let us know if you have any questions or need any additional information. </t>
        </is>
      </c>
    </row>
    <row r="9" ht="20" customFormat="1" customHeight="1" s="314">
      <c r="A9" s="313" t="inlineStr">
        <is>
          <t>Series 1000 Interior Recessed KD</t>
        </is>
      </c>
      <c r="B9" s="269" t="inlineStr">
        <is>
          <t xml:space="preserve">Thank you for your interest in Glass Flooring Systems. The following quote is for (X) XX" x XX" SkyFloor® interior glass flooring system. This is a complete system consisting of the walkable glass panels with tested anti-slip texture and our structural recessed interior floor framing with integrated setting gaskets and LED light channel. The make up of the glass panels is listed below. Please review and let us know if you have any questions or need any additional information. </t>
        </is>
      </c>
    </row>
    <row r="10" ht="20" customFormat="1" customHeight="1" s="314">
      <c r="A10" s="313" t="inlineStr">
        <is>
          <t>EconoFrame and Gasket</t>
        </is>
      </c>
      <c r="B10" s="269" t="inlineStr">
        <is>
          <t xml:space="preserve">Thank you for your interest in Glass Flooring Systems. The following quote is for (X) XX" x XX" walkable glass panels with tested anti-slip top surface. Also, included with the glass panel pricing is a add option for our EconoFrame® with integrated setting gasket. The eFrame will come to you in 12 ft. lengths and will need to be cut to size by installer. Our EconoFrame™ is an easy and elegant solution for setting walkable glass panels onto existing structural framing. The make up of the glass panels is listed below. Please review and let us know if you have any questions or need any additional information. </t>
        </is>
      </c>
    </row>
    <row r="11" ht="20" customFormat="1" customHeight="1" s="314">
      <c r="A11" s="313" t="inlineStr">
        <is>
          <t>EconoFrame cut to size</t>
        </is>
      </c>
      <c r="B11" s="269" t="inlineStr">
        <is>
          <t xml:space="preserve">Thank you for your interest in Glass Flooring Systems. The following quote is for (X) XX" x XX" walkable glass panels with tested anti-slip top surface. Also, included with the glass panels is our EconoFrame® cut to size with integrated setting gasket. Our EconoFrame® is an easy and elegant solution for setting walkable glass panels onto existing structural framing. The make up of the glass panels is listed below. Please review and let us know if you have any questions or need any additional information. </t>
        </is>
      </c>
    </row>
    <row r="12" ht="20" customFormat="1" customHeight="1" s="314">
      <c r="A12" s="313" t="inlineStr">
        <is>
          <t>Just Glass</t>
        </is>
      </c>
      <c r="B12" s="269" t="inlineStr">
        <is>
          <t xml:space="preserve">Thank you for your interest in Glass Flooring Systems. The following quote is for (X) XX" x XX" walkable glass panels. Each structural walkable glass panels has a tested anti-slip top layer. The make up of the glass panels is listed below. Please review and let us know if you have any questions or need any additional information. </t>
        </is>
      </c>
    </row>
    <row r="13" ht="20" customFormat="1" customHeight="1" s="314">
      <c r="A13" s="313" t="inlineStr">
        <is>
          <t>Stair Treads</t>
        </is>
      </c>
      <c r="B13" s="269" t="inlineStr">
        <is>
          <t xml:space="preserve">Thank you for your interest in Glass Flooring Systems. The following quote is for (X) XX" x XX" glass stair treads. All stair tread edges are post lamination polished for an ultra clear finished edge. The make up of the glass treads is listed below. Please review and let us know if you have any questions or need any additional information. </t>
        </is>
      </c>
    </row>
    <row r="14" ht="20" customFormat="1" customHeight="1" s="314">
      <c r="A14" s="313" t="inlineStr">
        <is>
          <t>Deck</t>
        </is>
      </c>
      <c r="B14" s="269" t="inlineStr">
        <is>
          <t xml:space="preserve">Thank you for your interest in Glass Flooring Systems. The following quote is for a XX" x XX" SkyFloor® glass deck system. This is a complete deck system consisting of the walkable glass panels with tested anti-slip texture and our structural deck framing with integrated setting gaskets, LED light channel and (xx) linear feet of integrated (glass cable) railing. The make up of the glass panels is listed below. Please review and let us know if you have any questions or need any additional information. </t>
        </is>
      </c>
    </row>
    <row r="15" ht="20" customFormat="1" customHeight="1" s="316">
      <c r="A15" s="315" t="inlineStr">
        <is>
          <t>Series 2000 Pedestal TB FA</t>
        </is>
      </c>
      <c r="B15" s="312" t="inlineStr">
        <is>
          <t xml:space="preserve">Thank you for your interest in Glass Flooring Systems. The following quote is for (X) XX" x XX" fully assembled ICC approved Series 2000 SkyFloor® ultra high performance walkable skylights. These are complete units which consist of our proprietary, thermally broken structural pedestal framing with integrated gutter and weep system, setting gaskets and structural walkable glass panels with tested anti-slip top layer. They come fully assembled with the walkable glass panels bonded to the frames with Dow Corning 995 silicone. The make up of the glass panels is listed below. Please review and let us know if you have any questions or need any additional information. </t>
        </is>
      </c>
    </row>
    <row r="16" ht="20" customFormat="1" customHeight="1" s="316">
      <c r="A16" s="315" t="inlineStr">
        <is>
          <t>Series 2000 Pedestal TB KD</t>
        </is>
      </c>
      <c r="B16" s="312" t="inlineStr">
        <is>
          <t xml:space="preserve">Thank you for your interest in Glass Flooring Systems. The following quote is for (X) XX" x XX" ICC approved Series 2000 SkyFloor® ultra high performance walkable skylights. These are complete systems which consist of our proprietary, thermally broken structural framing with integrated gutter and weep system, setting gasket and structural walkable glass panels with tested anti-slip top layer. The make up of the glass panels is listed below. Please review and let us know if you have any questions or need any additional information. </t>
        </is>
      </c>
    </row>
    <row r="17" ht="20" customFormat="1" customHeight="1" s="316">
      <c r="A17" s="315" t="inlineStr">
        <is>
          <t>Series 2000 Recessed TB FA</t>
        </is>
      </c>
      <c r="B17" s="312" t="inlineStr">
        <is>
          <t xml:space="preserve">Thank you for your interest in Glass Flooring Systems. The following quote is for (X) XX" x XX" fully assembled ICC approved Series 2000 SkyFloor® ultra high performance walkable skylights. These are complete units which consist of our proprietary structural, thermally broken, recessed framing with integrated gutter and weep system, setting gaskets, LED light channel and structural walkable glass panels with tested anti-slip top layer. They come fully assembled with the walkable glass panels bonded to the frames with Dow Corning 995 silicone. The make up of the glass panels is listed below. Please review and let us know if you have any questions or need any additional information. </t>
        </is>
      </c>
    </row>
    <row r="18" ht="20" customFormat="1" customHeight="1" s="316">
      <c r="A18" s="315" t="inlineStr">
        <is>
          <t>Series 2000 Recessed TB KD</t>
        </is>
      </c>
      <c r="B18" s="312" t="inlineStr">
        <is>
          <t xml:space="preserve">Thank you for your interest in Glass Flooring Systems. The following quote is for (X) XX" x XX" ICC approved Series 2000 SkyFloor® ultra high performance walkable skylights. These are complete systems which consist of our proprietary structural, thermally broken, recessed framing with integrated gutter and weep system, setting gaskets and structural walkable glass panels with tested anti-slip top layer. The make up of the glass panels is listed below. Please review and let us know if you have any questions or need any additional information. </t>
        </is>
      </c>
    </row>
    <row r="24">
      <c r="A24" s="443" t="inlineStr">
        <is>
          <t xml:space="preserve">Pedestal TB Fully Assembled </t>
        </is>
      </c>
      <c r="B24" s="434" t="inlineStr">
        <is>
          <t>6063-T6 extruded aluminum, thermally broken, pedestal perimeter framing with integrated LED lighting channel. Fully assembled with glass installed and bonded into the frame.</t>
        </is>
      </c>
      <c r="C24" s="99" t="n"/>
      <c r="D24" s="99" t="n"/>
      <c r="E24" s="99" t="n"/>
      <c r="F24" s="99" t="n"/>
      <c r="G24" s="99" t="n"/>
      <c r="H24" s="99" t="n"/>
      <c r="I24" s="99" t="n"/>
      <c r="J24" s="99" t="n"/>
      <c r="K24" s="99" t="n"/>
    </row>
    <row r="25" customFormat="1" s="329">
      <c r="A25" s="329" t="inlineStr">
        <is>
          <t>TB Pedestal TB Knock Down</t>
        </is>
      </c>
      <c r="B25" s="463" t="inlineStr">
        <is>
          <t>6063-T6 extruded aluminum, thermally broken, pedestal perimeter framing with integrated LED lighting channel. Unit to be assembled and glazed on site.</t>
        </is>
      </c>
      <c r="C25" s="614" t="n"/>
      <c r="D25" s="614" t="n"/>
      <c r="E25" s="614" t="n"/>
      <c r="F25" s="614" t="n"/>
      <c r="G25" s="614" t="n"/>
      <c r="H25" s="614" t="n"/>
      <c r="I25" s="614" t="n"/>
      <c r="J25" s="614" t="n"/>
      <c r="K25" s="614" t="n"/>
    </row>
    <row r="26">
      <c r="A26" s="443" t="inlineStr">
        <is>
          <t>Recessed TB Fully Assembled</t>
        </is>
      </c>
      <c r="B26" s="434" t="inlineStr">
        <is>
          <t>6063-T6 extruded aluminum, thermally broken, recessed perimeter framing with integrated LED lighting channel. Fully assembled with glass installed and bonded into the frame.</t>
        </is>
      </c>
      <c r="C26" s="99" t="n"/>
      <c r="D26" s="99" t="n"/>
      <c r="E26" s="99" t="n"/>
      <c r="F26" s="99" t="n"/>
      <c r="G26" s="99" t="n"/>
      <c r="H26" s="99" t="n"/>
      <c r="I26" s="99" t="n"/>
      <c r="J26" s="99" t="n"/>
      <c r="K26" s="99" t="n"/>
    </row>
    <row r="27" customFormat="1" s="329">
      <c r="A27" s="329" t="inlineStr">
        <is>
          <t xml:space="preserve">Recessed TB Knock Down </t>
        </is>
      </c>
      <c r="B27" s="463" t="inlineStr">
        <is>
          <t>6063-T6 extruded aluminum, thermally broken, recessed perimeter framing with integrated LED lighting channel. Unit to be assembled and glazed on site.</t>
        </is>
      </c>
      <c r="C27" s="614" t="n"/>
      <c r="D27" s="614" t="n"/>
      <c r="E27" s="614" t="n"/>
      <c r="F27" s="614" t="n"/>
      <c r="G27" s="614" t="n"/>
      <c r="H27" s="614" t="n"/>
      <c r="I27" s="614" t="n"/>
      <c r="J27" s="614" t="n"/>
      <c r="K27" s="614" t="n"/>
    </row>
    <row r="28">
      <c r="A28" s="443" t="inlineStr">
        <is>
          <t xml:space="preserve">Interior Recessed Fully Assembled </t>
        </is>
      </c>
      <c r="B28" s="434" t="inlineStr">
        <is>
          <t>6063-T6 extruded aluminum, interior recessed perimeter framing with integrated LED lighting channel. Fully assembled with glass installed and bonded to the frame.</t>
        </is>
      </c>
      <c r="C28" s="99" t="n"/>
      <c r="D28" s="99" t="n"/>
      <c r="E28" s="99" t="n"/>
      <c r="F28" s="99" t="n"/>
      <c r="G28" s="99" t="n"/>
      <c r="H28" s="99" t="n"/>
      <c r="I28" s="99" t="n"/>
      <c r="J28" s="99" t="n"/>
      <c r="K28" s="99" t="n"/>
    </row>
    <row r="29" customFormat="1" s="329">
      <c r="A29" s="329" t="inlineStr">
        <is>
          <t>Interior Recessed Knock Down</t>
        </is>
      </c>
      <c r="B29" s="463" t="inlineStr">
        <is>
          <t>6063-T6 extruded aluminum, interior recessed perimeter framing with integrated LED lighting channel. Unit to be assembled and glazed on site.</t>
        </is>
      </c>
      <c r="C29" s="614" t="n"/>
      <c r="D29" s="614" t="n"/>
      <c r="E29" s="614" t="n"/>
      <c r="F29" s="614" t="n"/>
      <c r="G29" s="614" t="n"/>
      <c r="H29" s="614" t="n"/>
      <c r="I29" s="614" t="n"/>
      <c r="J29" s="614" t="n"/>
      <c r="K29" s="614" t="n"/>
    </row>
    <row r="30">
      <c r="B30" s="434" t="inlineStr">
        <is>
          <t>6063-T6 extruded aluminum non-structural EconoFrame® perimeter framing with integrated LED lighting channel. Finish is a painted black. The EconoFrame® is not designed as waterproofed system - please let estimating know if this is a project requirement. This material is available as a fully welded frame at an additional cost.</t>
        </is>
      </c>
      <c r="C30" s="99" t="n"/>
      <c r="D30" s="99" t="n"/>
      <c r="E30" s="99" t="n"/>
      <c r="F30" s="99" t="n"/>
      <c r="G30" s="99" t="n"/>
      <c r="H30" s="99" t="n"/>
      <c r="I30" s="99" t="n"/>
      <c r="J30" s="99" t="n"/>
      <c r="K30" s="99" t="n"/>
    </row>
    <row r="31">
      <c r="A31" s="443" t="inlineStr">
        <is>
          <t>EconoFrame Cut to Size</t>
        </is>
      </c>
      <c r="B31" s="434" t="inlineStr">
        <is>
          <t>6063-T6 extruded aluminum non-structural EconoFrame® perimeter framing with integrated LED lighting channel. Cut to size. Finish is a painted black. The EconoFrame® is not designed as waterproofed system - please let estimating know if this is a project requirement. This material is available as a fully welded frame at an additional cost.</t>
        </is>
      </c>
      <c r="C31" s="99" t="n"/>
      <c r="D31" s="99" t="n"/>
      <c r="E31" s="99" t="n"/>
      <c r="F31" s="99" t="n"/>
      <c r="G31" s="99" t="n"/>
      <c r="H31" s="99" t="n"/>
      <c r="I31" s="99" t="n"/>
      <c r="J31" s="99" t="n"/>
      <c r="K31" s="99" t="n"/>
    </row>
    <row r="32">
      <c r="B32" s="460" t="inlineStr">
        <is>
          <t>Framing is not included in this proposal.</t>
        </is>
      </c>
      <c r="C32" s="99" t="n"/>
      <c r="D32" s="99" t="n"/>
      <c r="E32" s="99" t="n"/>
      <c r="F32" s="99" t="n"/>
      <c r="G32" s="99" t="n"/>
      <c r="H32" s="99" t="n"/>
      <c r="I32" s="99" t="n"/>
      <c r="J32" s="99" t="n"/>
      <c r="K32" s="99" t="n"/>
    </row>
    <row r="33">
      <c r="B33" s="460" t="inlineStr">
        <is>
          <t>Framing is not included in this proposal.</t>
        </is>
      </c>
      <c r="C33" s="99" t="n"/>
      <c r="D33" s="99" t="n"/>
      <c r="E33" s="99" t="n"/>
      <c r="F33" s="99" t="n"/>
      <c r="G33" s="99" t="n"/>
      <c r="H33" s="99" t="n"/>
      <c r="I33" s="99" t="n"/>
      <c r="J33" s="99" t="n"/>
      <c r="K33" s="99" t="n"/>
    </row>
    <row r="34">
      <c r="A34" s="443" t="inlineStr">
        <is>
          <t>Deck Perimeter</t>
        </is>
      </c>
      <c r="B34" s="434" t="inlineStr">
        <is>
          <t>6063-T6 extruded aluminum, deck perimeter framing with integrated LED lighting channel.</t>
        </is>
      </c>
      <c r="C34" s="99" t="n"/>
      <c r="D34" s="99" t="n"/>
      <c r="E34" s="99" t="n"/>
      <c r="F34" s="99" t="n"/>
      <c r="G34" s="99" t="n"/>
      <c r="H34" s="99" t="n"/>
      <c r="I34" s="99" t="n"/>
      <c r="J34" s="99" t="n"/>
      <c r="K34" s="99" t="n"/>
    </row>
    <row r="36">
      <c r="B36" s="460" t="inlineStr">
        <is>
          <t>Hide this, frame finish and EconoFrame info - Not being used</t>
        </is>
      </c>
      <c r="C36" s="99" t="n"/>
      <c r="D36" s="99" t="n"/>
      <c r="E36" s="99" t="n"/>
      <c r="F36" s="99" t="n"/>
      <c r="G36" s="99" t="n"/>
      <c r="H36" s="99" t="n"/>
      <c r="I36" s="99" t="n"/>
      <c r="J36" s="99" t="n"/>
      <c r="K36" s="99" t="n"/>
    </row>
    <row r="37">
      <c r="B37" s="434" t="n"/>
      <c r="C37" s="99" t="n"/>
      <c r="D37" s="99" t="n"/>
      <c r="E37" s="99" t="n"/>
      <c r="F37" s="99" t="n"/>
      <c r="G37" s="99" t="n"/>
      <c r="H37" s="99" t="n"/>
      <c r="I37" s="99" t="n"/>
      <c r="J37" s="99" t="n"/>
      <c r="K37" s="99" t="n"/>
    </row>
    <row r="38">
      <c r="B38" s="443" t="inlineStr">
        <is>
          <t>Installation by certified Glass Flooring Systems contractor. This will be a separate contract between owner and installer. Add $xxxxx</t>
        </is>
      </c>
    </row>
    <row r="39">
      <c r="B39" s="290" t="inlineStr">
        <is>
          <t>Initial here ________ if you require installation and approve additional charge as noted.</t>
        </is>
      </c>
    </row>
    <row r="42">
      <c r="A42" s="443" t="inlineStr">
        <is>
          <t xml:space="preserve">Typical </t>
        </is>
      </c>
      <c r="B42" s="441" t="inlineStr">
        <is>
          <t>Lead time is dependent on the anti-slip texture selected. Currently our lead time is 4 - 5 weeks for in stock textures and 10-12 weeks for textures not currently in stock. Please check with us for availability -  Lead times are from approved shop drawings.</t>
        </is>
      </c>
    </row>
    <row r="43"/>
    <row r="44">
      <c r="B44" s="442" t="n"/>
      <c r="C44" s="442" t="n"/>
      <c r="D44" s="442" t="n"/>
      <c r="E44" s="442" t="n"/>
      <c r="F44" s="442" t="n"/>
      <c r="G44" s="442" t="n"/>
      <c r="H44" s="442" t="n"/>
      <c r="I44" s="442" t="n"/>
      <c r="J44" s="442" t="n"/>
      <c r="K44" s="442" t="n"/>
    </row>
    <row r="45">
      <c r="A45" s="443" t="inlineStr">
        <is>
          <t>Expedited Orders</t>
        </is>
      </c>
      <c r="B45" s="445" t="inlineStr">
        <is>
          <t>Lead times are dependent on the anti-slip texture decided upon. Currently, our lead time is 10 - 12 weeks from approved shop drawings. We are able to expedite orders, which contain readily available anti-slip textures, for an additional fee . Expedited orders have a 4-6 week lead time from approved shops.</t>
        </is>
      </c>
    </row>
    <row r="46"/>
    <row r="47"/>
    <row r="49">
      <c r="A49" s="443" t="inlineStr">
        <is>
          <t>IGU's (anything from control)</t>
        </is>
      </c>
      <c r="B49" s="317" t="inlineStr">
        <is>
          <t>lead time 14 - 16 weeks after approved shop drawings but can vary depending on market conditions. See our terms and conditions for more information.</t>
        </is>
      </c>
    </row>
    <row r="51" ht="13" customHeight="1" s="486">
      <c r="B51" s="318" t="inlineStr">
        <is>
          <t xml:space="preserve">10mm top layer – low iron tempered Sevasa anti-slip texture. Final texture TBD.  </t>
        </is>
      </c>
    </row>
    <row r="52">
      <c r="B52" s="443" t="inlineStr">
        <is>
          <t>.060 interlayer PVB</t>
        </is>
      </c>
    </row>
    <row r="53">
      <c r="B53" s="318" t="inlineStr">
        <is>
          <t>10mm middle layer – low iron tempered</t>
        </is>
      </c>
      <c r="C53" s="439" t="n"/>
    </row>
    <row r="54">
      <c r="B54" s="319" t="inlineStr">
        <is>
          <t>.060 interlayer PVB</t>
        </is>
      </c>
      <c r="C54" s="436" t="n"/>
    </row>
    <row r="55">
      <c r="B55" s="319" t="inlineStr">
        <is>
          <t>10mm bottom layer – low iron tempered</t>
        </is>
      </c>
      <c r="C55" s="436" t="n"/>
    </row>
    <row r="56">
      <c r="B56" s="436" t="n"/>
      <c r="C56" s="436" t="n"/>
    </row>
    <row r="57">
      <c r="B57" s="436" t="n"/>
      <c r="C57" s="436" t="n"/>
    </row>
    <row r="58">
      <c r="A58" s="443" t="inlineStr">
        <is>
          <t>Engineering Descriptions</t>
        </is>
      </c>
      <c r="B58" s="436" t="n"/>
      <c r="C58" s="436" t="n"/>
    </row>
    <row r="59">
      <c r="A59" s="306" t="inlineStr">
        <is>
          <t>Glass only</t>
        </is>
      </c>
      <c r="B59" s="436" t="n"/>
      <c r="C59" s="436" t="n"/>
    </row>
    <row r="60">
      <c r="A60" s="306" t="inlineStr">
        <is>
          <t>Glass and frame</t>
        </is>
      </c>
      <c r="B60" s="436" t="n"/>
      <c r="C60" s="436" t="n"/>
    </row>
    <row r="61">
      <c r="A61" s="306" t="inlineStr">
        <is>
          <t>Stamped drawings</t>
        </is>
      </c>
      <c r="B61" s="436" t="n"/>
      <c r="C61" s="436" t="n"/>
    </row>
  </sheetData>
  <mergeCells count="15">
    <mergeCell ref="B31:K31"/>
    <mergeCell ref="B32:K32"/>
    <mergeCell ref="B45:K47"/>
    <mergeCell ref="B26:K26"/>
    <mergeCell ref="B27:K27"/>
    <mergeCell ref="B30:K30"/>
    <mergeCell ref="B29:K29"/>
    <mergeCell ref="B25:K25"/>
    <mergeCell ref="B24:K24"/>
    <mergeCell ref="B34:K34"/>
    <mergeCell ref="B33:K33"/>
    <mergeCell ref="B28:K28"/>
    <mergeCell ref="B42:K43"/>
    <mergeCell ref="B36:K36"/>
    <mergeCell ref="B37:K37"/>
  </mergeCells>
  <pageMargins left="0.7" right="0.7" top="0.75" bottom="0.75" header="0.3" footer="0.3"/>
  <pageSetup orientation="portrait" horizontalDpi="0" verticalDpi="0"/>
</worksheet>
</file>

<file path=xl/worksheets/sheet4.xml><?xml version="1.0" encoding="utf-8"?>
<worksheet xmlns="http://schemas.openxmlformats.org/spreadsheetml/2006/main">
  <sheetPr codeName="Sheet3">
    <outlinePr summaryBelow="1" summaryRight="1"/>
    <pageSetUpPr fitToPage="1"/>
  </sheetPr>
  <dimension ref="A1:N67"/>
  <sheetViews>
    <sheetView zoomScale="125" zoomScaleNormal="125" zoomScalePageLayoutView="125" workbookViewId="0">
      <selection activeCell="D44" sqref="D44"/>
    </sheetView>
  </sheetViews>
  <sheetFormatPr baseColWidth="10" defaultColWidth="9.1640625" defaultRowHeight="13"/>
  <cols>
    <col width="2.6640625" customWidth="1" style="1" min="1" max="1"/>
    <col width="6.83203125" customWidth="1" style="1" min="2" max="2"/>
    <col width="8" customWidth="1" style="1" min="3" max="3"/>
    <col width="18" customWidth="1" style="1" min="4" max="4"/>
    <col width="3.6640625" customWidth="1" style="1" min="5" max="5"/>
    <col width="9" customWidth="1" style="1" min="6" max="6"/>
    <col width="8.83203125" customWidth="1" style="1" min="7" max="7"/>
    <col width="1.1640625" customWidth="1" style="1" min="8" max="8"/>
    <col width="13.5" customWidth="1" style="1" min="9" max="9"/>
    <col width="13.83203125" customWidth="1" style="1" min="10" max="10"/>
    <col width="9" customWidth="1" style="1" min="11" max="11"/>
    <col width="7.1640625" customWidth="1" style="1" min="12" max="12"/>
    <col width="15.83203125" customWidth="1" style="1" min="13" max="13"/>
    <col width="10.83203125" bestFit="1" customWidth="1" style="1" min="14" max="14"/>
    <col width="9.1640625" customWidth="1" style="1" min="15" max="16384"/>
  </cols>
  <sheetData>
    <row r="1" ht="28.5" customHeight="1" s="486">
      <c r="A1" s="485" t="inlineStr">
        <is>
          <t>Glass Flooring Systems, Inc.</t>
        </is>
      </c>
    </row>
    <row r="2">
      <c r="A2" s="487" t="inlineStr">
        <is>
          <t xml:space="preserve">6 Aaron Way Sparta, NJ 07871 - Phone (862) 701-5320 </t>
        </is>
      </c>
    </row>
    <row r="3">
      <c r="B3" s="2" t="n"/>
    </row>
    <row r="4">
      <c r="B4" s="2" t="n"/>
    </row>
    <row r="5" ht="25" customHeight="1" s="486">
      <c r="B5" s="483" t="inlineStr">
        <is>
          <t>Transmittal</t>
        </is>
      </c>
    </row>
    <row r="6" ht="14" customHeight="1" s="486" thickBot="1">
      <c r="B6" s="3" t="n"/>
      <c r="C6" s="4" t="n"/>
      <c r="D6" s="4" t="n"/>
      <c r="E6" s="4" t="n"/>
      <c r="F6" s="4" t="n"/>
      <c r="G6" s="4" t="n"/>
      <c r="H6" s="4" t="n"/>
      <c r="I6" s="4" t="n"/>
      <c r="J6" s="4" t="n"/>
      <c r="K6" s="4" t="n"/>
      <c r="L6" s="4" t="n"/>
      <c r="M6" s="4" t="n"/>
    </row>
    <row r="7">
      <c r="B7" s="136" t="n"/>
    </row>
    <row r="8" ht="16" customHeight="1" s="486">
      <c r="B8" s="473" t="n"/>
      <c r="C8" s="473" t="n"/>
      <c r="D8" s="473" t="n"/>
      <c r="E8" s="473" t="n"/>
      <c r="F8" s="473" t="n"/>
      <c r="G8" s="473" t="n"/>
      <c r="H8" s="473" t="n"/>
      <c r="I8" s="350" t="inlineStr">
        <is>
          <t>Date:</t>
        </is>
      </c>
      <c r="J8" s="137" t="n"/>
      <c r="K8" s="473" t="inlineStr">
        <is>
          <t>Project #:</t>
        </is>
      </c>
      <c r="L8" s="488" t="n"/>
    </row>
    <row r="9" ht="16" customHeight="1" s="486">
      <c r="B9" s="490" t="inlineStr">
        <is>
          <t>Deliver To:</t>
        </is>
      </c>
      <c r="C9" s="473" t="n"/>
      <c r="H9" s="473" t="n"/>
      <c r="I9" s="473" t="n"/>
      <c r="J9" s="473" t="n"/>
      <c r="K9" s="473" t="n"/>
    </row>
    <row r="10" ht="16" customHeight="1" s="486">
      <c r="C10" s="489" t="n"/>
      <c r="H10" s="473" t="n"/>
      <c r="I10" s="473" t="n"/>
      <c r="J10" s="473" t="n"/>
    </row>
    <row r="11" ht="16" customHeight="1" s="486">
      <c r="B11" s="473" t="n"/>
      <c r="C11" s="473" t="n"/>
      <c r="H11" s="473" t="n"/>
      <c r="I11" s="473" t="inlineStr">
        <is>
          <t>Project:</t>
        </is>
      </c>
      <c r="J11" s="473" t="n"/>
    </row>
    <row r="12" ht="16" customHeight="1" s="486">
      <c r="B12" s="473" t="n"/>
      <c r="C12" s="473" t="n"/>
      <c r="H12" s="473" t="n"/>
      <c r="I12" s="473" t="n"/>
      <c r="J12" s="473" t="n"/>
      <c r="K12" s="473" t="n"/>
    </row>
    <row r="13" ht="16" customHeight="1" s="486">
      <c r="B13" s="473" t="inlineStr">
        <is>
          <t>Attn:</t>
        </is>
      </c>
      <c r="C13" s="473" t="n"/>
      <c r="D13" s="473" t="n"/>
      <c r="E13" s="473" t="n"/>
      <c r="G13" s="473" t="n"/>
      <c r="H13" s="473" t="n"/>
      <c r="I13" s="473" t="n"/>
      <c r="J13" s="473" t="n"/>
      <c r="K13" s="473" t="n"/>
    </row>
    <row r="14" ht="16" customHeight="1" s="486">
      <c r="B14" s="473" t="n"/>
      <c r="C14" s="482" t="n"/>
      <c r="E14" s="473" t="n"/>
      <c r="F14" s="473" t="n"/>
      <c r="G14" s="473" t="n"/>
      <c r="H14" s="473" t="n"/>
      <c r="I14" s="473" t="n"/>
      <c r="J14" s="473" t="n"/>
      <c r="K14" s="473" t="n"/>
      <c r="L14" s="473" t="n"/>
      <c r="M14" s="138" t="n"/>
    </row>
    <row r="15" ht="16" customHeight="1" s="486">
      <c r="B15" s="473" t="n"/>
      <c r="C15" s="473" t="n"/>
      <c r="D15" s="473" t="n"/>
      <c r="E15" s="473" t="n"/>
      <c r="F15" s="473" t="n"/>
      <c r="G15" s="473" t="n"/>
      <c r="H15" s="473" t="n"/>
      <c r="I15" s="473" t="n"/>
      <c r="J15" s="473" t="n"/>
      <c r="K15" s="473" t="n"/>
      <c r="L15" s="473" t="n"/>
      <c r="M15" s="138" t="n"/>
    </row>
    <row r="16" ht="16" customHeight="1" s="486">
      <c r="B16" s="473" t="inlineStr">
        <is>
          <t>We are sending you</t>
        </is>
      </c>
      <c r="C16" s="473" t="n"/>
      <c r="D16" s="473" t="n"/>
      <c r="E16" s="473" t="n"/>
      <c r="F16" s="473" t="n"/>
      <c r="G16" s="473" t="n"/>
      <c r="H16" s="473" t="n"/>
      <c r="I16" s="473" t="n"/>
      <c r="J16" s="473" t="n"/>
      <c r="K16" s="473" t="n"/>
      <c r="L16" s="473" t="n"/>
      <c r="M16" s="473" t="n"/>
    </row>
    <row r="17" ht="17" customHeight="1" s="486" thickBot="1">
      <c r="B17" s="473" t="n"/>
      <c r="C17" s="473" t="n"/>
      <c r="D17" s="473" t="n"/>
      <c r="E17" s="139" t="n"/>
      <c r="F17" s="473" t="n"/>
      <c r="G17" s="473" t="n"/>
      <c r="H17" s="473" t="n"/>
      <c r="I17" s="473" t="n"/>
      <c r="J17" s="473" t="n"/>
      <c r="K17" s="473" t="n"/>
      <c r="L17" s="473" t="n"/>
      <c r="M17" s="473" t="n"/>
      <c r="N17" s="140" t="n"/>
    </row>
    <row r="18" ht="17" customHeight="1" s="486" thickBot="1">
      <c r="B18" s="159" t="n"/>
      <c r="C18" s="473" t="inlineStr">
        <is>
          <t>Shop Drawings</t>
        </is>
      </c>
      <c r="D18" s="473" t="n"/>
      <c r="E18" s="141" t="n"/>
      <c r="F18" s="473" t="inlineStr">
        <is>
          <t>Sky Floor™ unit</t>
        </is>
      </c>
      <c r="G18" s="473" t="n"/>
      <c r="H18" s="473" t="n"/>
      <c r="I18" s="473" t="n"/>
      <c r="J18" s="473" t="n"/>
      <c r="K18" s="473" t="n"/>
      <c r="L18" s="473" t="n"/>
      <c r="M18" s="473" t="n"/>
    </row>
    <row r="19" ht="17" customHeight="1" s="486" thickBot="1">
      <c r="B19" s="142" t="n"/>
      <c r="C19" s="473" t="n"/>
      <c r="D19" s="473" t="n"/>
      <c r="E19" s="142" t="n"/>
      <c r="F19" s="473" t="n"/>
      <c r="G19" s="473" t="n"/>
      <c r="H19" s="473" t="n"/>
      <c r="I19" s="473" t="n"/>
      <c r="J19" s="473" t="n"/>
      <c r="K19" s="473" t="n"/>
      <c r="L19" s="473" t="n"/>
      <c r="M19" s="473" t="n"/>
    </row>
    <row r="20" ht="17" customHeight="1" s="486" thickBot="1">
      <c r="B20" s="159" t="n"/>
      <c r="C20" s="473" t="inlineStr">
        <is>
          <t>Frame Sample</t>
        </is>
      </c>
      <c r="D20" s="473" t="n"/>
      <c r="E20" s="159" t="n"/>
      <c r="F20" s="473" t="inlineStr">
        <is>
          <t>Test Unit</t>
        </is>
      </c>
      <c r="G20" s="473" t="n"/>
      <c r="H20" s="473" t="n"/>
      <c r="I20" s="473" t="n"/>
      <c r="J20" s="473" t="n"/>
      <c r="K20" s="473" t="n"/>
      <c r="L20" s="473" t="n"/>
      <c r="M20" s="473" t="n"/>
    </row>
    <row r="21" ht="17" customHeight="1" s="486" thickBot="1">
      <c r="B21" s="142" t="n"/>
      <c r="C21" s="473" t="n"/>
      <c r="D21" s="473" t="n"/>
      <c r="E21" s="142" t="n"/>
      <c r="F21" s="473" t="n"/>
      <c r="G21" s="473" t="n"/>
      <c r="H21" s="473" t="n"/>
      <c r="I21" s="473" t="n"/>
      <c r="J21" s="473" t="n"/>
      <c r="K21" s="473" t="n"/>
      <c r="L21" s="473" t="n"/>
      <c r="M21" s="473" t="n"/>
    </row>
    <row r="22" ht="17" customHeight="1" s="486" thickBot="1">
      <c r="B22" s="159" t="n"/>
      <c r="C22" s="473" t="inlineStr">
        <is>
          <t>Glass Sample</t>
        </is>
      </c>
      <c r="D22" s="473" t="n"/>
      <c r="E22" s="159" t="n"/>
      <c r="F22" s="473" t="inlineStr">
        <is>
          <t>For Review</t>
        </is>
      </c>
      <c r="G22" s="473" t="n"/>
      <c r="H22" s="473" t="n"/>
      <c r="I22" s="473" t="n"/>
      <c r="J22" s="473" t="n"/>
      <c r="K22" s="473" t="n"/>
      <c r="L22" s="473" t="n"/>
      <c r="M22" s="473" t="n"/>
    </row>
    <row r="23" ht="17" customHeight="1" s="486" thickBot="1">
      <c r="B23" s="142" t="n"/>
      <c r="C23" s="473" t="n"/>
      <c r="D23" s="473" t="n"/>
      <c r="E23" s="142" t="n"/>
      <c r="F23" s="473" t="n"/>
      <c r="G23" s="473" t="n"/>
      <c r="H23" s="473" t="n"/>
      <c r="I23" s="473" t="n"/>
      <c r="J23" s="473" t="n"/>
      <c r="K23" s="473" t="n"/>
      <c r="L23" s="473" t="n"/>
      <c r="M23" s="473" t="n"/>
    </row>
    <row r="24" ht="17" customHeight="1" s="486" thickBot="1">
      <c r="B24" s="159" t="n"/>
      <c r="C24" s="473" t="inlineStr">
        <is>
          <t>Specifications</t>
        </is>
      </c>
      <c r="D24" s="473" t="n"/>
      <c r="E24" s="159" t="n"/>
      <c r="F24" s="473" t="inlineStr">
        <is>
          <t>For Approval</t>
        </is>
      </c>
      <c r="G24" s="473" t="n"/>
      <c r="H24" s="473" t="n"/>
      <c r="I24" s="473" t="n"/>
      <c r="J24" s="473" t="n"/>
      <c r="K24" s="473" t="n"/>
      <c r="L24" s="473" t="n"/>
      <c r="M24" s="473" t="n"/>
    </row>
    <row r="25" ht="16" customHeight="1" s="486">
      <c r="B25" s="473" t="n"/>
      <c r="C25" s="473" t="n"/>
      <c r="D25" s="473" t="n"/>
      <c r="E25" s="142" t="n"/>
      <c r="F25" s="473" t="n"/>
      <c r="G25" s="473" t="n"/>
      <c r="H25" s="473" t="n"/>
      <c r="I25" s="473" t="n"/>
      <c r="J25" s="473" t="n"/>
      <c r="K25" s="473" t="n"/>
      <c r="L25" s="473" t="n"/>
      <c r="M25" s="473" t="n"/>
    </row>
    <row r="26" ht="16" customHeight="1" s="486">
      <c r="B26" s="473" t="n"/>
      <c r="C26" s="473" t="n"/>
      <c r="D26" s="473" t="n"/>
      <c r="E26" s="473" t="n"/>
      <c r="F26" s="473" t="n"/>
      <c r="G26" s="473" t="n"/>
      <c r="H26" s="473" t="n"/>
      <c r="I26" s="473" t="n"/>
      <c r="J26" s="473" t="n"/>
      <c r="K26" s="473" t="n"/>
      <c r="L26" s="473" t="n"/>
      <c r="M26" s="473" t="n"/>
    </row>
    <row r="27" ht="17" customHeight="1" s="486" thickBot="1">
      <c r="B27" s="473" t="n"/>
      <c r="C27" s="473" t="n"/>
      <c r="D27" s="473" t="n"/>
      <c r="E27" s="473" t="n"/>
      <c r="F27" s="473" t="n"/>
      <c r="G27" s="473" t="n"/>
      <c r="H27" s="473" t="n"/>
      <c r="I27" s="473" t="n"/>
      <c r="J27" s="473" t="n"/>
      <c r="K27" s="473" t="n"/>
      <c r="L27" s="473" t="n"/>
      <c r="M27" s="473" t="n"/>
    </row>
    <row r="28" ht="26.25" customHeight="1" s="486" thickBot="1">
      <c r="B28" s="473" t="n"/>
      <c r="C28" s="352" t="inlineStr">
        <is>
          <t>Qty</t>
        </is>
      </c>
      <c r="D28" s="353" t="inlineStr">
        <is>
          <t>Date</t>
        </is>
      </c>
      <c r="E28" s="615" t="inlineStr">
        <is>
          <t>Paint Color</t>
        </is>
      </c>
      <c r="F28" s="616" t="n"/>
      <c r="G28" s="353" t="inlineStr">
        <is>
          <t>Revisions</t>
        </is>
      </c>
      <c r="H28" s="617" t="inlineStr">
        <is>
          <t>Description</t>
        </is>
      </c>
      <c r="I28" s="618" t="n"/>
      <c r="J28" s="618" t="n"/>
      <c r="K28" s="618" t="n"/>
      <c r="L28" s="618" t="n"/>
      <c r="M28" s="619" t="n"/>
    </row>
    <row r="29" ht="16" customHeight="1" s="486">
      <c r="B29" s="473" t="n"/>
      <c r="C29" s="145" t="n"/>
      <c r="D29" s="468" t="n"/>
      <c r="E29" s="468" t="n"/>
      <c r="F29" s="620" t="n"/>
      <c r="G29" s="469" t="n"/>
      <c r="H29" s="469" t="n"/>
      <c r="I29" s="621" t="n"/>
      <c r="J29" s="621" t="n"/>
      <c r="K29" s="621" t="n"/>
      <c r="L29" s="621" t="n"/>
      <c r="M29" s="620" t="n"/>
    </row>
    <row r="30" ht="16" customHeight="1" s="486">
      <c r="B30" s="473" t="n"/>
      <c r="C30" s="169" t="n"/>
      <c r="D30" s="471" t="n"/>
      <c r="E30" s="465" t="n"/>
      <c r="F30" s="433" t="n"/>
      <c r="G30" s="465" t="n"/>
      <c r="H30" s="465" t="n"/>
      <c r="I30" s="432" t="n"/>
      <c r="J30" s="432" t="n"/>
      <c r="K30" s="432" t="n"/>
      <c r="L30" s="432" t="n"/>
      <c r="M30" s="433" t="n"/>
    </row>
    <row r="31" ht="16" customHeight="1" s="486">
      <c r="B31" s="473" t="n"/>
      <c r="C31" s="169" t="n"/>
      <c r="D31" s="471" t="n"/>
      <c r="E31" s="465" t="n"/>
      <c r="F31" s="433" t="n"/>
      <c r="G31" s="465" t="n"/>
      <c r="H31" s="465" t="n"/>
      <c r="I31" s="432" t="n"/>
      <c r="J31" s="432" t="n"/>
      <c r="K31" s="432" t="n"/>
      <c r="L31" s="432" t="n"/>
      <c r="M31" s="433" t="n"/>
    </row>
    <row r="32" ht="16" customHeight="1" s="486">
      <c r="B32" s="473" t="n"/>
      <c r="C32" s="169" t="n"/>
      <c r="D32" s="471" t="n"/>
      <c r="E32" s="471" t="n"/>
      <c r="F32" s="433" t="n"/>
      <c r="G32" s="465" t="n"/>
      <c r="H32" s="465" t="n"/>
      <c r="I32" s="432" t="n"/>
      <c r="J32" s="432" t="n"/>
      <c r="K32" s="432" t="n"/>
      <c r="L32" s="432" t="n"/>
      <c r="M32" s="433" t="n"/>
    </row>
    <row r="33" ht="16" customHeight="1" s="486">
      <c r="B33" s="473" t="n"/>
      <c r="C33" s="169" t="n"/>
      <c r="D33" s="471" t="n"/>
      <c r="E33" s="465" t="n"/>
      <c r="F33" s="433" t="n"/>
      <c r="G33" s="465" t="n"/>
      <c r="H33" s="465" t="n"/>
      <c r="I33" s="432" t="n"/>
      <c r="J33" s="432" t="n"/>
      <c r="K33" s="432" t="n"/>
      <c r="L33" s="432" t="n"/>
      <c r="M33" s="433" t="n"/>
    </row>
    <row r="34" ht="16" customHeight="1" s="486">
      <c r="C34" s="169" t="n"/>
      <c r="D34" s="471" t="n"/>
      <c r="E34" s="465" t="n"/>
      <c r="F34" s="433" t="n"/>
      <c r="G34" s="465" t="n"/>
      <c r="H34" s="465" t="n"/>
      <c r="I34" s="432" t="n"/>
      <c r="J34" s="432" t="n"/>
      <c r="K34" s="432" t="n"/>
      <c r="L34" s="432" t="n"/>
      <c r="M34" s="433" t="n"/>
    </row>
    <row r="35" ht="16" customHeight="1" s="486">
      <c r="B35" s="473" t="n"/>
      <c r="C35" s="169" t="n"/>
      <c r="D35" s="471" t="n"/>
      <c r="E35" s="471" t="n"/>
      <c r="F35" s="433" t="n"/>
      <c r="G35" s="465" t="n"/>
      <c r="H35" s="465" t="n"/>
      <c r="I35" s="432" t="n"/>
      <c r="J35" s="432" t="n"/>
      <c r="K35" s="432" t="n"/>
      <c r="L35" s="432" t="n"/>
      <c r="M35" s="433" t="n"/>
    </row>
    <row r="36" ht="16" customHeight="1" s="486">
      <c r="B36" s="473" t="n"/>
      <c r="C36" s="169" t="n"/>
      <c r="D36" s="471" t="n"/>
      <c r="E36" s="465" t="n"/>
      <c r="F36" s="433" t="n"/>
      <c r="G36" s="465" t="n"/>
      <c r="H36" s="465" t="n"/>
      <c r="I36" s="432" t="n"/>
      <c r="J36" s="432" t="n"/>
      <c r="K36" s="432" t="n"/>
      <c r="L36" s="432" t="n"/>
      <c r="M36" s="433" t="n"/>
    </row>
    <row r="37" ht="16" customHeight="1" s="486">
      <c r="B37" s="473" t="n"/>
      <c r="C37" s="169" t="n"/>
      <c r="D37" s="471" t="n"/>
      <c r="E37" s="465" t="n"/>
      <c r="F37" s="433" t="n"/>
      <c r="G37" s="465" t="n"/>
      <c r="H37" s="465" t="n"/>
      <c r="I37" s="432" t="n"/>
      <c r="J37" s="432" t="n"/>
      <c r="K37" s="432" t="n"/>
      <c r="L37" s="432" t="n"/>
      <c r="M37" s="433" t="n"/>
    </row>
    <row r="38" ht="16" customHeight="1" s="486">
      <c r="B38" s="473" t="n"/>
      <c r="C38" s="169" t="n"/>
      <c r="D38" s="471" t="n"/>
      <c r="E38" s="471" t="n"/>
      <c r="F38" s="433" t="n"/>
      <c r="G38" s="465" t="n"/>
      <c r="H38" s="465" t="n"/>
      <c r="I38" s="432" t="n"/>
      <c r="J38" s="432" t="n"/>
      <c r="K38" s="432" t="n"/>
      <c r="L38" s="432" t="n"/>
      <c r="M38" s="433" t="n"/>
    </row>
    <row r="39" ht="16" customHeight="1" s="486">
      <c r="B39" s="473" t="n"/>
      <c r="C39" s="169" t="n"/>
      <c r="D39" s="471" t="n"/>
      <c r="E39" s="465" t="n"/>
      <c r="F39" s="433" t="n"/>
      <c r="G39" s="465" t="n"/>
      <c r="H39" s="465" t="n"/>
      <c r="I39" s="432" t="n"/>
      <c r="J39" s="432" t="n"/>
      <c r="K39" s="432" t="n"/>
      <c r="L39" s="432" t="n"/>
      <c r="M39" s="433" t="n"/>
    </row>
    <row r="40" ht="16" customHeight="1" s="486">
      <c r="B40" s="473" t="n"/>
      <c r="C40" s="169" t="n"/>
      <c r="D40" s="471" t="n"/>
      <c r="E40" s="465" t="n"/>
      <c r="F40" s="433" t="n"/>
      <c r="G40" s="465" t="n"/>
      <c r="H40" s="465" t="n"/>
      <c r="I40" s="432" t="n"/>
      <c r="J40" s="432" t="n"/>
      <c r="K40" s="432" t="n"/>
      <c r="L40" s="432" t="n"/>
      <c r="M40" s="433" t="n"/>
    </row>
    <row r="41" ht="17" customHeight="1" s="486" thickBot="1">
      <c r="B41" s="473" t="n"/>
      <c r="C41" s="354" t="n"/>
      <c r="D41" s="355" t="n"/>
      <c r="E41" s="474" t="n"/>
      <c r="F41" s="622" t="n"/>
      <c r="G41" s="474" t="n"/>
      <c r="H41" s="474" t="n"/>
      <c r="I41" s="623" t="n"/>
      <c r="J41" s="623" t="n"/>
      <c r="K41" s="623" t="n"/>
      <c r="L41" s="623" t="n"/>
      <c r="M41" s="622" t="n"/>
    </row>
    <row r="42" ht="16" customHeight="1" s="486">
      <c r="B42" s="473" t="n"/>
      <c r="C42" s="473" t="n"/>
      <c r="D42" s="473" t="n"/>
      <c r="E42" s="473" t="n"/>
      <c r="F42" s="473" t="n"/>
      <c r="G42" s="473" t="n"/>
      <c r="H42" s="473" t="n"/>
      <c r="I42" s="473" t="n"/>
      <c r="J42" s="473" t="n"/>
      <c r="K42" s="473" t="n"/>
      <c r="L42" s="473" t="n"/>
      <c r="M42" s="473" t="n"/>
    </row>
    <row r="43" ht="16" customHeight="1" s="486">
      <c r="B43" s="473" t="n"/>
      <c r="C43" s="473" t="inlineStr">
        <is>
          <t>Sent by:</t>
        </is>
      </c>
      <c r="D43" s="473" t="inlineStr">
        <is>
          <t xml:space="preserve">Danielle Fisher </t>
        </is>
      </c>
      <c r="E43" s="473" t="n"/>
      <c r="F43" s="473" t="n"/>
      <c r="G43" s="473" t="n"/>
      <c r="H43" s="473" t="n"/>
      <c r="I43" s="473" t="n"/>
      <c r="J43" s="473" t="n"/>
      <c r="K43" s="473" t="n"/>
      <c r="L43" s="473" t="n"/>
      <c r="M43" s="473" t="n"/>
    </row>
    <row r="44" ht="12.75" customHeight="1" s="486">
      <c r="B44" s="473" t="n"/>
      <c r="C44" s="473" t="n"/>
      <c r="D44" s="473" t="n"/>
      <c r="E44" s="473" t="n"/>
      <c r="F44" s="473" t="n"/>
      <c r="G44" s="473" t="n"/>
      <c r="H44" s="473" t="n"/>
      <c r="I44" s="473" t="n"/>
      <c r="J44" s="473" t="n"/>
      <c r="K44" s="473" t="n"/>
      <c r="L44" s="473" t="n"/>
      <c r="M44" s="473" t="n"/>
    </row>
    <row r="45" ht="16" customHeight="1" s="486">
      <c r="B45" s="473" t="n"/>
      <c r="C45" s="473" t="n"/>
      <c r="D45" s="473" t="n"/>
      <c r="E45" s="473" t="n"/>
      <c r="F45" s="473" t="n"/>
      <c r="G45" s="473" t="n"/>
      <c r="H45" s="473" t="n"/>
      <c r="I45" s="473" t="n"/>
      <c r="J45" s="473" t="n"/>
      <c r="K45" s="473" t="n"/>
      <c r="L45" s="473" t="n"/>
      <c r="M45" s="473" t="n"/>
    </row>
    <row r="46" ht="16" customHeight="1" s="486">
      <c r="B46" s="488" t="n"/>
      <c r="C46" s="473" t="n"/>
      <c r="D46" s="473" t="n"/>
      <c r="E46" s="624" t="n"/>
      <c r="F46" s="473" t="n"/>
      <c r="G46" s="473" t="n"/>
      <c r="H46" s="473" t="n"/>
      <c r="I46" s="473" t="n"/>
      <c r="J46" s="473" t="n"/>
      <c r="K46" s="473" t="n"/>
      <c r="L46" s="473" t="n"/>
      <c r="M46" s="473" t="n"/>
    </row>
    <row r="47" ht="16" customHeight="1" s="486">
      <c r="B47" s="488" t="n"/>
      <c r="C47" s="473" t="n"/>
      <c r="D47" s="473" t="n"/>
      <c r="E47" s="473" t="n"/>
      <c r="F47" s="473" t="n"/>
      <c r="G47" s="473" t="n"/>
      <c r="H47" s="473" t="n"/>
      <c r="I47" s="473" t="n"/>
      <c r="J47" s="473" t="n"/>
      <c r="K47" s="473" t="n"/>
      <c r="L47" s="473" t="n"/>
      <c r="M47" s="473" t="n"/>
    </row>
    <row r="48" ht="16" customHeight="1" s="486">
      <c r="B48" s="488" t="n"/>
      <c r="C48" s="473" t="n"/>
      <c r="D48" s="473" t="n"/>
      <c r="E48" s="473" t="n"/>
      <c r="F48" s="473" t="n"/>
      <c r="G48" s="473" t="n"/>
      <c r="H48" s="473" t="n"/>
      <c r="I48" s="473" t="n"/>
      <c r="J48" s="473" t="n"/>
      <c r="K48" s="473" t="n"/>
      <c r="L48" s="473" t="n"/>
      <c r="M48" s="473" t="n"/>
    </row>
    <row r="49" ht="16" customHeight="1" s="486">
      <c r="B49" s="473" t="n"/>
      <c r="C49" s="473" t="n"/>
      <c r="D49" s="473" t="n"/>
      <c r="E49" s="473" t="n"/>
      <c r="F49" s="473" t="n"/>
      <c r="G49" s="473" t="n"/>
      <c r="H49" s="473" t="n"/>
      <c r="I49" s="473" t="n"/>
      <c r="J49" s="473" t="n"/>
      <c r="K49" s="473" t="n"/>
      <c r="L49" s="473" t="n"/>
      <c r="M49" s="473" t="n"/>
    </row>
    <row r="50" ht="16" customHeight="1" s="486">
      <c r="B50" s="473" t="n"/>
      <c r="C50" s="473" t="n"/>
      <c r="D50" s="473" t="n"/>
      <c r="E50" s="473" t="n"/>
      <c r="F50" s="473" t="n"/>
      <c r="G50" s="473" t="n"/>
      <c r="H50" s="473" t="n"/>
      <c r="I50" s="473" t="n"/>
      <c r="J50" s="473" t="n"/>
      <c r="K50" s="473" t="n"/>
      <c r="L50" s="473" t="n"/>
      <c r="M50" s="473" t="n"/>
    </row>
    <row r="51" ht="16" customHeight="1" s="486">
      <c r="B51" s="138" t="n"/>
      <c r="C51" s="473" t="n"/>
      <c r="D51" s="473" t="n"/>
      <c r="E51" s="473" t="n"/>
      <c r="F51" s="473" t="n"/>
      <c r="G51" s="473" t="n"/>
      <c r="H51" s="473" t="n"/>
      <c r="I51" s="473" t="n"/>
      <c r="J51" s="473" t="n"/>
      <c r="K51" s="473" t="n"/>
      <c r="L51" s="473" t="n"/>
      <c r="M51" s="473" t="n"/>
    </row>
    <row r="52" ht="16" customHeight="1" s="486">
      <c r="B52" s="473" t="n"/>
      <c r="C52" s="473" t="n"/>
      <c r="D52" s="473" t="n"/>
      <c r="E52" s="473" t="n"/>
      <c r="F52" s="473" t="n"/>
      <c r="G52" s="473" t="n"/>
      <c r="H52" s="473" t="n"/>
      <c r="I52" s="473" t="n"/>
      <c r="J52" s="473" t="n"/>
      <c r="K52" s="473" t="n"/>
      <c r="L52" s="473" t="n"/>
      <c r="M52" s="473" t="n"/>
    </row>
    <row r="53" ht="16" customHeight="1" s="486">
      <c r="B53" s="473" t="n"/>
      <c r="C53" s="473" t="n"/>
      <c r="D53" s="473" t="n"/>
      <c r="E53" s="473" t="n"/>
      <c r="F53" s="473" t="n"/>
      <c r="G53" s="473" t="n"/>
      <c r="H53" s="473" t="n"/>
      <c r="I53" s="473" t="n"/>
      <c r="J53" s="473" t="n"/>
      <c r="K53" s="473" t="n"/>
      <c r="L53" s="473" t="n"/>
      <c r="M53" s="473" t="n"/>
    </row>
    <row r="54" ht="16" customHeight="1" s="486">
      <c r="B54" s="473" t="n"/>
      <c r="C54" s="473" t="n"/>
      <c r="D54" s="473" t="n"/>
      <c r="E54" s="473" t="n"/>
      <c r="F54" s="473" t="n"/>
      <c r="G54" s="473" t="n"/>
      <c r="H54" s="473" t="n"/>
      <c r="I54" s="473" t="n"/>
      <c r="J54" s="473" t="n"/>
      <c r="K54" s="473" t="n"/>
      <c r="L54" s="473" t="n"/>
      <c r="M54" s="473" t="n"/>
    </row>
    <row r="55" ht="16" customHeight="1" s="486">
      <c r="B55" s="473" t="n"/>
      <c r="C55" s="473" t="n"/>
      <c r="D55" s="473" t="n"/>
      <c r="E55" s="473" t="n"/>
      <c r="F55" s="473" t="n"/>
      <c r="G55" s="473" t="n"/>
      <c r="H55" s="473" t="n"/>
      <c r="I55" s="473" t="n"/>
      <c r="J55" s="473" t="n"/>
      <c r="K55" s="473" t="n"/>
      <c r="L55" s="473" t="n"/>
      <c r="M55" s="473" t="n"/>
    </row>
    <row r="56" ht="16" customHeight="1" s="486">
      <c r="B56" s="473" t="n"/>
      <c r="C56" s="473" t="n"/>
      <c r="D56" s="473" t="n"/>
      <c r="E56" s="473" t="n"/>
      <c r="F56" s="473" t="n"/>
      <c r="G56" s="473" t="n"/>
      <c r="H56" s="473" t="n"/>
      <c r="I56" s="473" t="n"/>
      <c r="J56" s="473" t="n"/>
      <c r="K56" s="473" t="n"/>
      <c r="L56" s="473" t="n"/>
      <c r="M56" s="473" t="n"/>
    </row>
    <row r="57" ht="16" customHeight="1" s="486">
      <c r="B57" s="473" t="n"/>
      <c r="C57" s="473" t="n"/>
      <c r="D57" s="473" t="n"/>
      <c r="H57" s="473" t="n"/>
      <c r="I57" s="473" t="n"/>
      <c r="J57" s="473" t="n"/>
    </row>
    <row r="58" ht="16" customHeight="1" s="486">
      <c r="B58" s="473" t="n"/>
      <c r="C58" s="473" t="n"/>
      <c r="D58" s="473" t="n"/>
      <c r="H58" s="473" t="n"/>
      <c r="I58" s="473" t="n"/>
      <c r="J58" s="473" t="n"/>
      <c r="K58" s="473" t="n"/>
      <c r="L58" s="473" t="n"/>
      <c r="M58" s="473" t="n"/>
    </row>
    <row r="59" ht="16" customHeight="1" s="486">
      <c r="C59" s="473" t="n"/>
      <c r="D59" s="473" t="n"/>
      <c r="E59" s="473" t="n"/>
      <c r="F59" s="473" t="n"/>
      <c r="G59" s="473" t="n"/>
      <c r="H59" s="473" t="n"/>
      <c r="I59" s="473" t="n"/>
      <c r="J59" s="473" t="n"/>
      <c r="K59" s="473" t="n"/>
      <c r="L59" s="473" t="n"/>
      <c r="M59" s="473" t="n"/>
    </row>
    <row r="60" ht="16" customHeight="1" s="486">
      <c r="C60" s="473" t="n"/>
      <c r="D60" s="473" t="n"/>
      <c r="E60" s="473" t="n"/>
      <c r="F60" s="473" t="n"/>
      <c r="G60" s="473" t="n"/>
      <c r="H60" s="473" t="n"/>
      <c r="I60" s="473" t="n"/>
      <c r="J60" s="473" t="n"/>
      <c r="K60" s="473" t="n"/>
      <c r="L60" s="473" t="n"/>
      <c r="M60" s="473" t="n"/>
    </row>
    <row r="61" ht="16" customHeight="1" s="486">
      <c r="C61" s="473" t="n"/>
      <c r="D61" s="473" t="n"/>
      <c r="E61" s="473" t="n"/>
      <c r="F61" s="473" t="n"/>
      <c r="G61" s="473" t="n"/>
      <c r="H61" s="473" t="n"/>
      <c r="I61" s="473" t="n"/>
      <c r="J61" s="473" t="n"/>
      <c r="K61" s="473" t="n"/>
      <c r="L61" s="473" t="n"/>
      <c r="M61" s="473" t="n"/>
    </row>
    <row r="62" ht="16" customHeight="1" s="486">
      <c r="C62" s="473" t="n"/>
      <c r="D62" s="473" t="n"/>
      <c r="E62" s="473" t="n"/>
      <c r="F62" s="473" t="n"/>
      <c r="G62" s="473" t="n"/>
      <c r="H62" s="473" t="n"/>
      <c r="I62" s="473" t="n"/>
      <c r="J62" s="473" t="n"/>
      <c r="K62" s="473" t="n"/>
      <c r="L62" s="473" t="n"/>
      <c r="M62" s="473" t="n"/>
    </row>
    <row r="63" ht="16" customHeight="1" s="486">
      <c r="C63" s="473" t="n"/>
      <c r="D63" s="473" t="n"/>
      <c r="E63" s="473" t="n"/>
      <c r="F63" s="473" t="n"/>
      <c r="G63" s="473" t="n"/>
      <c r="H63" s="473" t="n"/>
      <c r="I63" s="473" t="n"/>
      <c r="J63" s="473" t="n"/>
      <c r="K63" s="473" t="n"/>
      <c r="L63" s="473" t="n"/>
      <c r="M63" s="473" t="n"/>
    </row>
    <row r="64" ht="16" customHeight="1" s="486">
      <c r="C64" s="473" t="n"/>
      <c r="D64" s="473" t="n"/>
      <c r="E64" s="473" t="n"/>
      <c r="F64" s="473" t="n"/>
      <c r="G64" s="473" t="n"/>
      <c r="H64" s="473" t="n"/>
      <c r="I64" s="473" t="n"/>
      <c r="J64" s="473" t="n"/>
      <c r="K64" s="473" t="n"/>
      <c r="L64" s="473" t="n"/>
      <c r="M64" s="473" t="n"/>
    </row>
    <row r="65" ht="16" customHeight="1" s="486">
      <c r="C65" s="473" t="n"/>
      <c r="D65" s="473" t="n"/>
      <c r="E65" s="473" t="n"/>
      <c r="F65" s="473" t="n"/>
      <c r="G65" s="473" t="n"/>
      <c r="H65" s="473" t="n"/>
      <c r="I65" s="473" t="n"/>
      <c r="J65" s="473" t="n"/>
      <c r="K65" s="473" t="n"/>
      <c r="L65" s="473" t="n"/>
      <c r="M65" s="473" t="n"/>
    </row>
    <row r="66" ht="16" customHeight="1" s="486">
      <c r="C66" s="473" t="n"/>
      <c r="D66" s="473" t="n"/>
      <c r="E66" s="473" t="n"/>
      <c r="F66" s="473" t="n"/>
      <c r="G66" s="473" t="n"/>
      <c r="H66" s="473" t="n"/>
      <c r="I66" s="473" t="n"/>
      <c r="J66" s="473" t="n"/>
      <c r="K66" s="473" t="n"/>
      <c r="L66" s="473" t="n"/>
      <c r="M66" s="473" t="n"/>
    </row>
    <row r="67" ht="16" customHeight="1" s="486">
      <c r="C67" s="473" t="n"/>
      <c r="D67" s="473" t="n"/>
      <c r="E67" s="473" t="n"/>
      <c r="F67" s="473" t="n"/>
      <c r="G67" s="473" t="n"/>
      <c r="H67" s="473" t="n"/>
      <c r="I67" s="473" t="n"/>
      <c r="J67" s="473" t="n"/>
      <c r="K67" s="473" t="n"/>
      <c r="L67" s="473" t="n"/>
      <c r="M67" s="473" t="n"/>
    </row>
  </sheetData>
  <mergeCells count="46">
    <mergeCell ref="D58:G58"/>
    <mergeCell ref="H36:M36"/>
    <mergeCell ref="E33:F33"/>
    <mergeCell ref="C14:D14"/>
    <mergeCell ref="K12:M12"/>
    <mergeCell ref="E39:F39"/>
    <mergeCell ref="E35:F35"/>
    <mergeCell ref="E38:F38"/>
    <mergeCell ref="H32:M32"/>
    <mergeCell ref="E29:F29"/>
    <mergeCell ref="C10:G10"/>
    <mergeCell ref="H28:M28"/>
    <mergeCell ref="E28:F28"/>
    <mergeCell ref="H37:M37"/>
    <mergeCell ref="L8:M8"/>
    <mergeCell ref="E40:F40"/>
    <mergeCell ref="C9:G9"/>
    <mergeCell ref="E31:F31"/>
    <mergeCell ref="J57:M57"/>
    <mergeCell ref="J10:M10"/>
    <mergeCell ref="E34:F34"/>
    <mergeCell ref="B9:B10"/>
    <mergeCell ref="E30:F30"/>
    <mergeCell ref="A1:M1"/>
    <mergeCell ref="C12:G12"/>
    <mergeCell ref="H33:M33"/>
    <mergeCell ref="B5:M5"/>
    <mergeCell ref="K13:M13"/>
    <mergeCell ref="C11:G11"/>
    <mergeCell ref="H30:M30"/>
    <mergeCell ref="E36:F36"/>
    <mergeCell ref="D57:G57"/>
    <mergeCell ref="H35:M35"/>
    <mergeCell ref="H38:M38"/>
    <mergeCell ref="H29:M29"/>
    <mergeCell ref="H41:M41"/>
    <mergeCell ref="K9:M9"/>
    <mergeCell ref="E32:F32"/>
    <mergeCell ref="E41:F41"/>
    <mergeCell ref="J11:M11"/>
    <mergeCell ref="H40:M40"/>
    <mergeCell ref="E37:F37"/>
    <mergeCell ref="H31:M31"/>
    <mergeCell ref="H39:M39"/>
    <mergeCell ref="H34:M34"/>
    <mergeCell ref="A2:M2"/>
  </mergeCells>
  <printOptions horizontalCentered="1"/>
  <pageMargins left="0.34" right="0.33" top="0.51" bottom="0.5" header="0.5" footer="0.1"/>
  <pageSetup orientation="portrait" scale="79" copies="2"/>
  <headerFooter>
    <oddHeader/>
    <oddFooter>&amp;C&amp;P of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K56"/>
  <sheetViews>
    <sheetView topLeftCell="A30" workbookViewId="0">
      <selection activeCell="N42" sqref="N42"/>
    </sheetView>
  </sheetViews>
  <sheetFormatPr baseColWidth="10" defaultColWidth="9.1640625" defaultRowHeight="18"/>
  <cols>
    <col width="3" customWidth="1" style="506" min="1" max="1"/>
    <col width="4" customWidth="1" style="506" min="2" max="2"/>
    <col width="9.33203125" customWidth="1" style="506" min="3" max="3"/>
    <col width="11.33203125" bestFit="1" customWidth="1" style="506" min="4" max="4"/>
    <col width="14.33203125" customWidth="1" style="506" min="5" max="5"/>
    <col width="7.83203125" customWidth="1" style="506" min="6" max="6"/>
    <col width="4.6640625" customWidth="1" style="506" min="7" max="7"/>
    <col width="7.83203125" customWidth="1" style="506" min="8" max="8"/>
    <col hidden="1" width="4.83203125" customWidth="1" style="506" min="9" max="9"/>
    <col width="13" customWidth="1" style="506" min="10" max="10"/>
    <col width="30.6640625" customWidth="1" style="506" min="11" max="11"/>
    <col width="9.1640625" customWidth="1" style="506" min="12" max="12"/>
    <col width="10.83203125" bestFit="1" customWidth="1" style="506" min="13" max="13"/>
    <col width="9.1640625" customWidth="1" style="506" min="14" max="16384"/>
  </cols>
  <sheetData>
    <row r="1">
      <c r="C1" s="504" t="n"/>
      <c r="D1" s="99" t="n"/>
      <c r="E1" s="99" t="n"/>
      <c r="F1" s="99" t="n"/>
      <c r="G1" s="99" t="n"/>
      <c r="H1" s="99" t="n"/>
      <c r="I1" s="99" t="n"/>
    </row>
    <row r="2">
      <c r="C2" s="504" t="n"/>
      <c r="D2" s="99" t="n"/>
      <c r="E2" s="99" t="n"/>
      <c r="F2" s="99" t="n"/>
      <c r="G2" s="99" t="n"/>
      <c r="H2" s="99" t="n"/>
      <c r="I2" s="99" t="n"/>
    </row>
    <row r="3">
      <c r="C3" s="510" t="n"/>
      <c r="D3" s="504" t="n"/>
      <c r="E3" s="504" t="n"/>
      <c r="F3" s="504" t="n"/>
      <c r="G3" s="504" t="n"/>
      <c r="J3" s="128" t="inlineStr">
        <is>
          <t>Invoice Order #</t>
        </is>
      </c>
      <c r="K3" s="111" t="n">
        <v>10206</v>
      </c>
    </row>
    <row r="4">
      <c r="C4" s="504" t="n"/>
      <c r="D4" s="99" t="n"/>
      <c r="E4" s="504" t="n"/>
      <c r="F4" s="504" t="n"/>
      <c r="G4" s="504" t="n"/>
      <c r="J4" s="530" t="inlineStr">
        <is>
          <t>Date:</t>
        </is>
      </c>
      <c r="K4" s="112">
        <f>TODAY()</f>
        <v/>
      </c>
    </row>
    <row r="5">
      <c r="C5" s="504" t="n"/>
      <c r="D5" s="99" t="n"/>
      <c r="E5" s="504" t="n"/>
      <c r="F5" s="504" t="n"/>
      <c r="G5" s="504" t="n"/>
      <c r="J5" s="530" t="inlineStr">
        <is>
          <t>Project Name:</t>
        </is>
      </c>
      <c r="K5" s="506">
        <f>#REF!</f>
        <v/>
      </c>
    </row>
    <row r="6">
      <c r="C6" s="504" t="n"/>
      <c r="D6" s="99" t="n"/>
      <c r="E6" s="504" t="n"/>
      <c r="F6" s="504" t="n"/>
      <c r="G6" s="504" t="n"/>
      <c r="H6" s="507" t="inlineStr">
        <is>
          <t>Project Address:</t>
        </is>
      </c>
      <c r="I6" s="99" t="n"/>
      <c r="J6" s="99" t="n"/>
      <c r="K6" s="522">
        <f>#REF!</f>
        <v/>
      </c>
    </row>
    <row r="7">
      <c r="D7" s="505" t="n"/>
      <c r="E7" s="505" t="n"/>
      <c r="F7" s="505" t="n"/>
      <c r="G7" s="505" t="n"/>
      <c r="J7" s="530" t="inlineStr">
        <is>
          <t>Contact:</t>
        </is>
      </c>
      <c r="K7" s="522">
        <f>#REF!</f>
        <v/>
      </c>
    </row>
    <row r="8">
      <c r="C8" s="508" t="n"/>
      <c r="D8" s="505" t="n"/>
      <c r="E8" s="505" t="n"/>
      <c r="F8" s="505" t="n"/>
      <c r="G8" s="505" t="n"/>
      <c r="J8" s="531" t="inlineStr">
        <is>
          <t>Phone:</t>
        </is>
      </c>
      <c r="K8" s="522">
        <f>#REF!</f>
        <v/>
      </c>
    </row>
    <row r="9">
      <c r="D9" s="508" t="n"/>
      <c r="E9" s="508" t="n"/>
      <c r="F9" s="508" t="n"/>
      <c r="G9" s="508" t="n"/>
      <c r="J9" s="531" t="inlineStr">
        <is>
          <t>Email:</t>
        </is>
      </c>
      <c r="K9" s="113">
        <f>#REF!</f>
        <v/>
      </c>
    </row>
    <row r="10">
      <c r="B10" s="508" t="inlineStr">
        <is>
          <t>6 Aaron Way Sparta, NJ 07871</t>
        </is>
      </c>
      <c r="C10" s="99" t="n"/>
      <c r="D10" s="99" t="n"/>
      <c r="E10" s="99" t="n"/>
      <c r="F10" s="99" t="n"/>
      <c r="G10" s="115" t="n"/>
      <c r="H10" s="116" t="n"/>
      <c r="I10" s="522" t="n"/>
      <c r="J10" s="522" t="n"/>
      <c r="K10" s="522" t="n"/>
    </row>
    <row r="11">
      <c r="B11" s="509" t="inlineStr">
        <is>
          <t>www.glassflooringsystems.com</t>
        </is>
      </c>
      <c r="C11" s="99" t="n"/>
      <c r="D11" s="99" t="n"/>
      <c r="E11" s="99" t="n"/>
      <c r="F11" s="99" t="n"/>
    </row>
    <row r="12" ht="19" customHeight="1" s="486" thickBot="1">
      <c r="A12" s="118" t="n"/>
      <c r="B12" s="117" t="n"/>
      <c r="C12" s="118" t="n"/>
      <c r="D12" s="118" t="n"/>
      <c r="E12" s="118" t="n"/>
      <c r="F12" s="118" t="n"/>
      <c r="G12" s="118" t="n"/>
      <c r="H12" s="118" t="n"/>
      <c r="I12" s="118" t="n"/>
      <c r="J12" s="118" t="n"/>
      <c r="K12" s="118" t="n"/>
    </row>
    <row r="13" ht="19" customHeight="1" s="486" thickTop="1">
      <c r="A13" s="119" t="n"/>
      <c r="B13" s="119" t="n"/>
      <c r="C13" s="119" t="n"/>
      <c r="D13" s="119" t="n"/>
      <c r="E13" s="119" t="n"/>
      <c r="F13" s="119" t="n"/>
      <c r="G13" s="119" t="n"/>
      <c r="H13" s="119" t="n"/>
      <c r="I13" s="119" t="n"/>
      <c r="J13" s="119" t="n"/>
      <c r="K13" s="119" t="n"/>
    </row>
    <row r="15">
      <c r="A15" s="510" t="inlineStr">
        <is>
          <t>Invoice Order #10206</t>
        </is>
      </c>
      <c r="B15" s="99" t="n"/>
      <c r="C15" s="99" t="n"/>
      <c r="D15" s="99" t="n"/>
      <c r="E15" s="99" t="n"/>
      <c r="F15" s="99" t="n"/>
      <c r="G15" s="99" t="n"/>
      <c r="H15" s="99" t="n"/>
      <c r="I15" s="99" t="n"/>
      <c r="J15" s="99" t="n"/>
      <c r="K15" s="99" t="n"/>
    </row>
    <row r="16">
      <c r="C16" s="129" t="n"/>
      <c r="D16" s="130" t="n"/>
      <c r="E16" s="130" t="n"/>
      <c r="F16" s="130" t="n"/>
      <c r="G16" s="130" t="n"/>
      <c r="H16" s="625" t="n"/>
      <c r="I16" s="132" t="n"/>
    </row>
    <row r="17">
      <c r="A17" s="133" t="n"/>
      <c r="B17" s="134" t="n"/>
      <c r="C17" s="500" t="n"/>
      <c r="D17" s="500" t="n"/>
      <c r="E17" s="500" t="n"/>
      <c r="F17" s="500" t="n"/>
      <c r="G17" s="500" t="n"/>
      <c r="H17" s="500" t="n"/>
      <c r="I17" s="500" t="n"/>
      <c r="J17" s="500" t="n"/>
      <c r="K17" s="500" t="n"/>
    </row>
    <row r="18">
      <c r="A18" s="133" t="n"/>
      <c r="B18" s="133" t="n"/>
      <c r="C18" s="497">
        <f>#REF!</f>
        <v/>
      </c>
      <c r="D18" s="99" t="n"/>
      <c r="E18" s="99" t="n"/>
      <c r="F18" s="99" t="n"/>
      <c r="G18" s="99" t="n"/>
      <c r="H18" s="99" t="n"/>
      <c r="I18" s="99" t="n"/>
      <c r="J18" s="99" t="n"/>
      <c r="K18" s="99" t="n"/>
    </row>
    <row r="19">
      <c r="A19" s="133" t="n"/>
      <c r="B19" s="133" t="n"/>
      <c r="C19" s="497">
        <f>#REF!</f>
        <v/>
      </c>
      <c r="D19" s="99" t="n"/>
      <c r="E19" s="99" t="n"/>
      <c r="F19" s="99" t="n"/>
      <c r="G19" s="99" t="n"/>
      <c r="H19" s="99" t="n"/>
      <c r="I19" s="99" t="n"/>
      <c r="J19" s="99" t="n"/>
      <c r="K19" s="99" t="n"/>
    </row>
    <row r="20">
      <c r="A20" s="133" t="n"/>
      <c r="B20" s="133" t="n"/>
      <c r="C20" s="506" t="inlineStr">
        <is>
          <t>Contact person:</t>
        </is>
      </c>
      <c r="D20" s="99" t="n"/>
      <c r="E20" s="501">
        <f>#REF!</f>
        <v/>
      </c>
      <c r="F20" s="498" t="n"/>
      <c r="G20" s="498" t="n"/>
      <c r="H20" s="498" t="n"/>
      <c r="I20" s="498" t="n"/>
      <c r="J20" s="498" t="n"/>
      <c r="K20" s="498" t="n"/>
    </row>
    <row r="21">
      <c r="A21" s="133" t="n"/>
      <c r="B21" s="133" t="n"/>
      <c r="C21" s="506" t="inlineStr">
        <is>
          <t xml:space="preserve">Phone: </t>
        </is>
      </c>
      <c r="D21" s="506">
        <f>#REF!</f>
        <v/>
      </c>
      <c r="F21" s="501" t="n"/>
      <c r="G21" s="501" t="n"/>
      <c r="H21" s="501" t="n"/>
      <c r="I21" s="501" t="n"/>
      <c r="J21" s="501" t="n"/>
      <c r="K21" s="501" t="n"/>
    </row>
    <row r="22">
      <c r="A22" s="502" t="n"/>
      <c r="B22" s="502" t="n"/>
    </row>
    <row r="23">
      <c r="A23" s="500" t="n"/>
      <c r="B23" s="500" t="n"/>
      <c r="C23" s="495" t="n"/>
      <c r="D23" s="99" t="n"/>
      <c r="E23" s="99" t="n"/>
      <c r="F23" s="99" t="n"/>
      <c r="G23" s="99" t="n"/>
      <c r="H23" s="99" t="n"/>
      <c r="I23" s="99" t="n"/>
      <c r="J23" s="99" t="n"/>
      <c r="K23" s="99" t="n"/>
    </row>
    <row r="24">
      <c r="A24" s="500" t="n"/>
      <c r="B24" s="500" t="n"/>
      <c r="C24" s="497" t="n"/>
      <c r="D24" s="99" t="n"/>
      <c r="E24" s="99" t="n"/>
      <c r="F24" s="99" t="n"/>
      <c r="G24" s="99" t="n"/>
      <c r="H24" s="99" t="n"/>
      <c r="I24" s="99" t="n"/>
      <c r="J24" s="99" t="n"/>
      <c r="K24" s="99" t="n"/>
    </row>
    <row r="25">
      <c r="A25" s="500" t="n"/>
      <c r="B25" s="500" t="n"/>
      <c r="C25" s="497" t="n"/>
      <c r="D25" s="99" t="n"/>
      <c r="E25" s="99" t="n"/>
      <c r="F25" s="99" t="n"/>
      <c r="G25" s="99" t="n"/>
      <c r="H25" s="99" t="n"/>
      <c r="I25" s="99" t="n"/>
      <c r="J25" s="99" t="n"/>
      <c r="K25" s="99" t="n"/>
    </row>
    <row r="26">
      <c r="A26" s="500" t="n"/>
      <c r="B26" s="500" t="n"/>
      <c r="C26" s="500" t="n"/>
      <c r="D26" s="500" t="n"/>
      <c r="E26" s="500" t="n"/>
      <c r="F26" s="500" t="n"/>
      <c r="G26" s="500" t="n"/>
      <c r="H26" s="500" t="n"/>
      <c r="I26" s="500" t="n"/>
      <c r="J26" s="500" t="n"/>
    </row>
    <row r="27">
      <c r="A27" s="500" t="n"/>
      <c r="B27" s="500" t="n"/>
      <c r="C27" s="500" t="n"/>
      <c r="D27" s="500" t="n"/>
      <c r="E27" s="500" t="n"/>
      <c r="F27" s="500" t="n"/>
      <c r="G27" s="500" t="n"/>
      <c r="H27" s="500" t="n"/>
      <c r="I27" s="500" t="n"/>
      <c r="J27" s="500" t="n"/>
    </row>
    <row r="28">
      <c r="A28" s="500" t="n"/>
      <c r="B28" s="500" t="n"/>
      <c r="C28" s="500" t="n"/>
      <c r="D28" s="500" t="n"/>
      <c r="E28" s="500" t="n"/>
      <c r="F28" s="500" t="n"/>
      <c r="G28" s="500" t="n"/>
      <c r="H28" s="500" t="n"/>
      <c r="I28" s="500" t="n"/>
      <c r="J28" s="500" t="n"/>
    </row>
    <row r="29">
      <c r="A29" s="120" t="n"/>
      <c r="B29" s="120" t="n"/>
      <c r="C29" s="499" t="n"/>
      <c r="D29" s="121" t="n"/>
      <c r="E29" s="121" t="n"/>
      <c r="F29" s="121" t="n"/>
      <c r="G29" s="121" t="n"/>
      <c r="H29" s="121" t="n"/>
      <c r="I29" s="121" t="n"/>
      <c r="J29" s="500" t="n"/>
    </row>
    <row r="30">
      <c r="A30" s="502" t="n"/>
      <c r="B30" s="120" t="n"/>
      <c r="C30" s="499" t="inlineStr">
        <is>
          <t>One 24 x 24 Sky Floor walk on skylight</t>
        </is>
      </c>
      <c r="D30" s="99" t="n"/>
      <c r="E30" s="99" t="n"/>
      <c r="F30" s="99" t="n"/>
      <c r="G30" s="99" t="n"/>
      <c r="H30" s="99" t="n"/>
      <c r="I30" s="99" t="n"/>
      <c r="J30" s="99" t="n"/>
      <c r="K30" s="99" t="n"/>
    </row>
    <row r="31">
      <c r="A31" s="135" t="n"/>
      <c r="B31" s="500" t="n"/>
      <c r="C31" s="499" t="n"/>
      <c r="D31" s="121" t="n"/>
      <c r="E31" s="121" t="n"/>
      <c r="F31" s="121" t="n"/>
      <c r="G31" s="121" t="n"/>
      <c r="H31" s="121" t="n"/>
      <c r="I31" s="121" t="n"/>
      <c r="J31" s="500" t="n"/>
    </row>
    <row r="32">
      <c r="A32" s="135" t="n"/>
      <c r="B32" s="500" t="n"/>
      <c r="C32" s="500" t="n"/>
      <c r="D32" s="99" t="n"/>
      <c r="E32" s="99" t="n"/>
      <c r="F32" s="99" t="n"/>
      <c r="G32" s="99" t="n"/>
      <c r="H32" s="99" t="n"/>
      <c r="I32" s="99" t="n"/>
      <c r="J32" s="99" t="n"/>
      <c r="K32" s="99" t="n"/>
    </row>
    <row r="33">
      <c r="A33" s="135" t="n"/>
      <c r="B33" s="500" t="n"/>
      <c r="C33" s="500" t="n"/>
      <c r="D33" s="501" t="n"/>
      <c r="E33" s="501" t="n"/>
      <c r="F33" s="501" t="n"/>
      <c r="G33" s="501" t="n"/>
      <c r="H33" s="501" t="n"/>
      <c r="I33" s="501" t="n"/>
      <c r="J33" s="501" t="n"/>
      <c r="K33" s="501" t="n"/>
    </row>
    <row r="34">
      <c r="A34" s="135" t="n"/>
      <c r="B34" s="500" t="n"/>
      <c r="C34" s="500" t="n"/>
      <c r="D34" s="501" t="n"/>
      <c r="E34" s="501" t="n"/>
      <c r="F34" s="501" t="n"/>
      <c r="G34" s="501" t="n"/>
      <c r="H34" s="501" t="n"/>
      <c r="I34" s="501" t="n"/>
      <c r="J34" s="501" t="n"/>
      <c r="K34" s="501" t="n"/>
    </row>
    <row r="35">
      <c r="A35" s="135" t="n"/>
      <c r="B35" s="500" t="n"/>
      <c r="C35" s="500" t="n"/>
      <c r="D35" s="501" t="n"/>
      <c r="E35" s="501" t="n"/>
      <c r="F35" s="501" t="n"/>
      <c r="G35" s="501" t="n"/>
      <c r="H35" s="501" t="n"/>
      <c r="I35" s="501" t="n"/>
      <c r="J35" s="501" t="n"/>
      <c r="K35" s="501" t="n"/>
    </row>
    <row r="36">
      <c r="A36" s="135" t="n"/>
      <c r="B36" s="500" t="n"/>
      <c r="C36" s="500" t="n"/>
      <c r="D36" s="501" t="n"/>
      <c r="E36" s="501" t="n"/>
      <c r="F36" s="501" t="n"/>
      <c r="G36" s="501" t="n"/>
      <c r="H36" s="501" t="n"/>
      <c r="I36" s="501" t="n"/>
      <c r="J36" s="501" t="n"/>
      <c r="K36" s="501" t="n"/>
    </row>
    <row r="37">
      <c r="A37" s="135" t="n"/>
      <c r="B37" s="500" t="n"/>
      <c r="C37" s="499" t="n"/>
      <c r="D37" s="121" t="n"/>
      <c r="E37" s="121" t="n"/>
      <c r="F37" s="121" t="n"/>
      <c r="G37" s="121" t="n"/>
      <c r="H37" s="121" t="n"/>
      <c r="I37" s="121" t="n"/>
      <c r="J37" s="500" t="n"/>
    </row>
    <row r="38">
      <c r="A38" s="135" t="n"/>
      <c r="B38" s="500" t="n"/>
      <c r="C38" s="499" t="n"/>
      <c r="D38" s="121" t="n"/>
      <c r="E38" s="121" t="n"/>
      <c r="F38" s="121" t="n"/>
      <c r="G38" s="121" t="n"/>
      <c r="H38" s="121" t="n"/>
      <c r="I38" s="121" t="n"/>
      <c r="J38" s="500" t="n"/>
    </row>
    <row r="39">
      <c r="A39" s="135" t="n"/>
      <c r="B39" s="500" t="n"/>
      <c r="C39" s="502" t="inlineStr">
        <is>
          <t>Thank You for choosing Glass Floor System, Inc.</t>
        </is>
      </c>
      <c r="D39" s="99" t="n"/>
      <c r="E39" s="99" t="n"/>
      <c r="F39" s="99" t="n"/>
      <c r="G39" s="99" t="n"/>
      <c r="H39" s="99" t="n"/>
      <c r="I39" s="99" t="n"/>
      <c r="J39" s="99" t="n"/>
      <c r="K39" s="99" t="n"/>
    </row>
    <row r="40">
      <c r="A40" s="135" t="n"/>
      <c r="B40" s="500" t="n"/>
      <c r="C40" s="499" t="n"/>
      <c r="D40" s="121" t="n"/>
      <c r="E40" s="121" t="n"/>
      <c r="F40" s="121" t="n"/>
      <c r="G40" s="121" t="n"/>
      <c r="H40" s="121" t="n"/>
      <c r="I40" s="121" t="n"/>
      <c r="J40" s="500" t="n"/>
    </row>
    <row r="41">
      <c r="A41" s="135" t="n"/>
      <c r="B41" s="500" t="n"/>
      <c r="C41" s="500" t="inlineStr">
        <is>
          <t>Greg Muniz</t>
        </is>
      </c>
      <c r="D41" s="501" t="n"/>
      <c r="E41" s="121" t="n"/>
      <c r="F41" s="121" t="n"/>
      <c r="G41" s="121" t="n"/>
      <c r="H41" s="121" t="n"/>
      <c r="I41" s="121" t="n"/>
      <c r="J41" s="500" t="n"/>
    </row>
    <row r="42">
      <c r="A42" s="135" t="n"/>
      <c r="B42" s="500" t="n"/>
      <c r="C42" s="126" t="inlineStr">
        <is>
          <t>greg@glassflooringsystems.com</t>
        </is>
      </c>
      <c r="D42" s="501" t="n"/>
      <c r="E42" s="121" t="n"/>
      <c r="F42" s="121" t="n"/>
      <c r="G42" s="121" t="n"/>
      <c r="H42" s="121" t="n"/>
      <c r="I42" s="121" t="n"/>
      <c r="J42" s="500" t="n"/>
    </row>
    <row r="43">
      <c r="A43" s="135" t="n"/>
      <c r="B43" s="500" t="n"/>
      <c r="C43" s="499" t="n"/>
      <c r="D43" s="121" t="n"/>
      <c r="E43" s="121" t="n"/>
      <c r="F43" s="121" t="n"/>
      <c r="G43" s="121" t="n"/>
      <c r="H43" s="121" t="n"/>
      <c r="I43" s="121" t="n"/>
      <c r="J43" s="500" t="n"/>
    </row>
    <row r="44">
      <c r="A44" s="135" t="n"/>
      <c r="B44" s="500" t="n"/>
      <c r="C44" s="499" t="n"/>
      <c r="D44" s="121" t="n"/>
      <c r="E44" s="121" t="n"/>
      <c r="F44" s="121" t="n"/>
      <c r="G44" s="121" t="n"/>
      <c r="H44" s="121" t="n"/>
      <c r="I44" s="121" t="n"/>
      <c r="J44" s="500" t="n"/>
    </row>
    <row r="45" customFormat="1" s="501">
      <c r="B45" s="506" t="n"/>
      <c r="C45" s="506" t="n"/>
    </row>
    <row r="46" customFormat="1" s="501">
      <c r="B46" s="506" t="n"/>
      <c r="C46" s="506" t="n"/>
    </row>
    <row r="54" ht="19" customHeight="1" s="486">
      <c r="A54" s="491" t="inlineStr">
        <is>
          <t>www.glassflooringsystems.com</t>
        </is>
      </c>
      <c r="B54" s="99" t="n"/>
      <c r="C54" s="99" t="n"/>
      <c r="D54" s="99" t="n"/>
      <c r="E54" s="99" t="n"/>
      <c r="F54" s="99" t="n"/>
      <c r="G54" s="99" t="n"/>
      <c r="H54" s="99" t="n"/>
      <c r="I54" s="99" t="n"/>
      <c r="J54" s="99" t="n"/>
      <c r="K54" s="99" t="n"/>
    </row>
    <row r="55" ht="19" customHeight="1" s="486">
      <c r="A55" s="493" t="inlineStr">
        <is>
          <t>6 Aaron Way Sparta, NJ 07871</t>
        </is>
      </c>
      <c r="B55" s="99" t="n"/>
      <c r="C55" s="99" t="n"/>
      <c r="D55" s="99" t="n"/>
      <c r="E55" s="99" t="n"/>
      <c r="F55" s="99" t="n"/>
      <c r="G55" s="99" t="n"/>
      <c r="H55" s="99" t="n"/>
      <c r="I55" s="99" t="n"/>
      <c r="J55" s="99" t="n"/>
      <c r="K55" s="99" t="n"/>
    </row>
    <row r="56" ht="19" customHeight="1" s="486">
      <c r="A56" s="493" t="inlineStr">
        <is>
          <t>862-701-5320</t>
        </is>
      </c>
      <c r="B56" s="99" t="n"/>
      <c r="C56" s="99" t="n"/>
      <c r="D56" s="99" t="n"/>
      <c r="E56" s="99" t="n"/>
      <c r="F56" s="99" t="n"/>
      <c r="G56" s="99" t="n"/>
      <c r="H56" s="99" t="n"/>
      <c r="I56" s="99" t="n"/>
      <c r="J56" s="99" t="n"/>
      <c r="K56" s="99" t="n"/>
    </row>
  </sheetData>
  <mergeCells count="21">
    <mergeCell ref="C6:D6"/>
    <mergeCell ref="C25:K25"/>
    <mergeCell ref="A15:K15"/>
    <mergeCell ref="C5:D5"/>
    <mergeCell ref="C4:D4"/>
    <mergeCell ref="C20:D20"/>
    <mergeCell ref="A54:K54"/>
    <mergeCell ref="B11:F11"/>
    <mergeCell ref="C23:K23"/>
    <mergeCell ref="C39:K39"/>
    <mergeCell ref="A56:K56"/>
    <mergeCell ref="C32:K32"/>
    <mergeCell ref="C19:K19"/>
    <mergeCell ref="A55:K55"/>
    <mergeCell ref="B10:F10"/>
    <mergeCell ref="C18:K18"/>
    <mergeCell ref="C1:I1"/>
    <mergeCell ref="C24:K24"/>
    <mergeCell ref="C30:K30"/>
    <mergeCell ref="C2:I2"/>
    <mergeCell ref="H6:J6"/>
  </mergeCells>
  <hyperlinks>
    <hyperlink xmlns:r="http://schemas.openxmlformats.org/officeDocument/2006/relationships" ref="K9" display="greg@glassflooringsystems.com" r:id="rId1"/>
    <hyperlink xmlns:r="http://schemas.openxmlformats.org/officeDocument/2006/relationships" ref="B11" r:id="rId2"/>
    <hyperlink xmlns:r="http://schemas.openxmlformats.org/officeDocument/2006/relationships" ref="C42" r:id="rId3"/>
    <hyperlink xmlns:r="http://schemas.openxmlformats.org/officeDocument/2006/relationships" ref="A54" r:id="rId4"/>
  </hyperlinks>
  <pageMargins left="0.7" right="0.7" top="0.75" bottom="0.75" header="0.3" footer="0.3"/>
  <pageSetup orientation="portrait" scale="77" horizontalDpi="0" verticalDpi="0"/>
  <rowBreaks count="1" manualBreakCount="1">
    <brk id="57" min="0" max="16383" man="1"/>
  </rowBreaks>
  <colBreaks count="1" manualBreakCount="1">
    <brk id="11" min="0" max="1048575" man="1"/>
  </colBreaks>
  <drawing xmlns:r="http://schemas.openxmlformats.org/officeDocument/2006/relationships" r:id="rId5"/>
</worksheet>
</file>

<file path=xl/worksheets/sheet6.xml><?xml version="1.0" encoding="utf-8"?>
<worksheet xmlns="http://schemas.openxmlformats.org/spreadsheetml/2006/main">
  <sheetPr>
    <outlinePr summaryBelow="1" summaryRight="1"/>
    <pageSetUpPr/>
  </sheetPr>
  <dimension ref="B2:R67"/>
  <sheetViews>
    <sheetView topLeftCell="A8" workbookViewId="0">
      <selection activeCell="J10" sqref="J10"/>
    </sheetView>
  </sheetViews>
  <sheetFormatPr baseColWidth="10" defaultColWidth="9.1640625" defaultRowHeight="13"/>
  <cols>
    <col width="1.83203125" customWidth="1" style="99" min="1" max="1"/>
    <col width="6.6640625" customWidth="1" style="99" min="2" max="2"/>
    <col width="9.33203125" customWidth="1" style="100" min="3" max="3"/>
    <col width="9" customWidth="1" style="100" min="4" max="4"/>
    <col width="16.1640625" customWidth="1" style="100" min="5" max="5"/>
    <col width="7.83203125" customWidth="1" style="100" min="6" max="6"/>
    <col width="4.6640625" customWidth="1" style="100" min="7" max="9"/>
    <col width="14" customWidth="1" style="100" min="10" max="10"/>
    <col width="7.83203125" customWidth="1" style="100" min="11" max="11"/>
    <col hidden="1" width="4.83203125" customWidth="1" style="99" min="12" max="12"/>
    <col width="8" customWidth="1" style="99" min="13" max="13"/>
    <col width="36.33203125" customWidth="1" style="99" min="14" max="14"/>
    <col width="9.1640625" customWidth="1" style="99" min="15" max="15"/>
    <col width="40.33203125" customWidth="1" style="99" min="16" max="16"/>
    <col width="35.5" customWidth="1" style="99" min="17" max="18"/>
    <col width="9.1640625" customWidth="1" style="99" min="19" max="16384"/>
  </cols>
  <sheetData>
    <row r="2" ht="33" customHeight="1" s="486">
      <c r="B2" s="536" t="inlineStr">
        <is>
          <t>Change Order</t>
        </is>
      </c>
      <c r="C2" s="99" t="n"/>
      <c r="D2" s="99" t="n"/>
      <c r="E2" s="99" t="n"/>
      <c r="F2" s="99" t="n"/>
      <c r="G2" s="99" t="n"/>
      <c r="H2" s="99" t="n"/>
      <c r="I2" s="99" t="n"/>
      <c r="J2" s="99" t="n"/>
      <c r="K2" s="99" t="n"/>
      <c r="L2" s="99" t="n"/>
      <c r="M2" s="99" t="n"/>
      <c r="N2" s="99" t="n"/>
    </row>
    <row r="3" ht="17" customHeight="1" s="486">
      <c r="C3" s="529" t="n"/>
      <c r="D3" s="99" t="n"/>
      <c r="E3" s="99" t="n"/>
      <c r="F3" s="99" t="n"/>
      <c r="G3" s="99" t="n"/>
      <c r="H3" s="99" t="n"/>
      <c r="I3" s="99" t="n"/>
      <c r="J3" s="99" t="n"/>
      <c r="K3" s="99" t="n"/>
      <c r="L3" s="99" t="n"/>
      <c r="P3" s="98" t="n"/>
      <c r="Q3" s="98" t="n"/>
    </row>
    <row r="4" ht="16" customHeight="1" s="486">
      <c r="C4" s="103" t="n"/>
      <c r="D4" s="104" t="n"/>
      <c r="E4" s="104" t="n"/>
      <c r="F4" s="104" t="n"/>
      <c r="G4" s="104" t="n"/>
      <c r="H4" s="104" t="n"/>
      <c r="I4" s="104" t="n"/>
      <c r="J4" s="530" t="inlineStr">
        <is>
          <t>Change Order #</t>
        </is>
      </c>
      <c r="K4" s="99" t="n"/>
      <c r="L4" s="99" t="n"/>
      <c r="M4" s="99" t="n"/>
      <c r="N4" s="111">
        <f>#REF! &amp; " CO"</f>
        <v/>
      </c>
      <c r="P4" s="98" t="n"/>
      <c r="Q4" s="98" t="n"/>
    </row>
    <row r="5" ht="18" customHeight="1" s="486">
      <c r="C5" s="535" t="n"/>
      <c r="D5" s="99" t="n"/>
      <c r="E5" s="535" t="n"/>
      <c r="F5" s="535" t="n"/>
      <c r="G5" s="535" t="n"/>
      <c r="H5" s="535" t="n"/>
      <c r="I5" s="535" t="n"/>
      <c r="J5" s="530" t="inlineStr">
        <is>
          <t>Date:</t>
        </is>
      </c>
      <c r="K5" s="99" t="n"/>
      <c r="L5" s="99" t="n"/>
      <c r="M5" s="99" t="n"/>
      <c r="N5" s="112">
        <f>TODAY()</f>
        <v/>
      </c>
      <c r="P5" s="98" t="n"/>
      <c r="Q5" s="98" t="n"/>
    </row>
    <row r="6" ht="18" customHeight="1" s="486">
      <c r="C6" s="535" t="n"/>
      <c r="D6" s="99" t="n"/>
      <c r="E6" s="535" t="n"/>
      <c r="F6" s="535" t="n"/>
      <c r="G6" s="535" t="n"/>
      <c r="H6" s="535" t="n"/>
      <c r="I6" s="535" t="n"/>
      <c r="J6" s="507" t="inlineStr">
        <is>
          <t>Project Name:</t>
        </is>
      </c>
      <c r="K6" s="99" t="n"/>
      <c r="L6" s="99" t="n"/>
      <c r="M6" s="99" t="n"/>
      <c r="N6" s="506">
        <f>#REF!</f>
        <v/>
      </c>
      <c r="P6" s="98" t="n"/>
      <c r="Q6" s="98" t="n"/>
    </row>
    <row r="7" ht="18" customHeight="1" s="486">
      <c r="C7" s="529" t="n"/>
      <c r="D7" s="99" t="n"/>
      <c r="E7" s="529" t="n"/>
      <c r="F7" s="529" t="n"/>
      <c r="G7" s="529" t="n"/>
      <c r="H7" s="529" t="n"/>
      <c r="I7" s="529" t="n"/>
      <c r="J7" s="530" t="inlineStr">
        <is>
          <t>Project Address:</t>
        </is>
      </c>
      <c r="K7" s="99" t="n"/>
      <c r="L7" s="99" t="n"/>
      <c r="M7" s="99" t="n"/>
      <c r="N7" s="522">
        <f>#REF!</f>
        <v/>
      </c>
      <c r="P7" s="98" t="n"/>
      <c r="Q7" s="98" t="n"/>
    </row>
    <row r="8" ht="18" customHeight="1" s="486">
      <c r="D8" s="538" t="n"/>
      <c r="E8" s="538" t="n"/>
      <c r="F8" s="538" t="n"/>
      <c r="G8" s="538" t="n"/>
      <c r="H8" s="538" t="n"/>
      <c r="I8" s="538" t="n"/>
      <c r="J8" s="530" t="inlineStr">
        <is>
          <t>Contact:</t>
        </is>
      </c>
      <c r="K8" s="99" t="n"/>
      <c r="L8" s="99" t="n"/>
      <c r="M8" s="99" t="n"/>
      <c r="N8" s="522" t="inlineStr">
        <is>
          <t>Dan Muniz</t>
        </is>
      </c>
      <c r="P8" s="98" t="n"/>
      <c r="Q8" s="98" t="n"/>
    </row>
    <row r="9" ht="18" customHeight="1" s="486">
      <c r="C9" s="105" t="n"/>
      <c r="D9" s="538" t="n"/>
      <c r="E9" s="538" t="n"/>
      <c r="F9" s="538" t="n"/>
      <c r="G9" s="538" t="n"/>
      <c r="H9" s="538" t="n"/>
      <c r="I9" s="538" t="n"/>
      <c r="J9" s="531" t="inlineStr">
        <is>
          <t>Email:</t>
        </is>
      </c>
      <c r="N9" s="113" t="inlineStr">
        <is>
          <t>dan@glassflooringsystems.com</t>
        </is>
      </c>
      <c r="P9" s="98" t="n"/>
      <c r="Q9" s="98" t="n"/>
    </row>
    <row r="10" ht="18" customHeight="1" s="486">
      <c r="B10" s="98" t="n"/>
      <c r="C10" s="98" t="n"/>
      <c r="D10" s="106" t="n"/>
      <c r="E10" s="106" t="n"/>
      <c r="F10" s="106" t="n"/>
      <c r="G10" s="107" t="n"/>
      <c r="H10" s="107" t="n"/>
      <c r="I10" s="107" t="n"/>
      <c r="J10" s="107" t="n"/>
      <c r="K10" s="506" t="n"/>
      <c r="L10" s="506" t="n"/>
      <c r="M10" s="506" t="n"/>
      <c r="N10" s="506" t="n"/>
    </row>
    <row r="11" ht="18" customHeight="1" s="486">
      <c r="B11" s="508" t="inlineStr">
        <is>
          <t xml:space="preserve">6 Aaron Way  Sparta, NJ 07871 </t>
        </is>
      </c>
      <c r="C11" s="99" t="n"/>
      <c r="D11" s="99" t="n"/>
      <c r="E11" s="99" t="n"/>
      <c r="F11" s="99" t="n"/>
      <c r="G11" s="115" t="n"/>
      <c r="H11" s="115" t="n"/>
      <c r="I11" s="115" t="n"/>
      <c r="J11" s="115" t="n"/>
      <c r="K11" s="116" t="n"/>
      <c r="L11" s="522" t="n"/>
      <c r="M11" s="522" t="n"/>
      <c r="N11" s="522" t="n"/>
    </row>
    <row r="12" ht="18" customHeight="1" s="486">
      <c r="B12" s="508" t="inlineStr">
        <is>
          <t>862-701-5320</t>
        </is>
      </c>
      <c r="C12" s="501" t="n"/>
      <c r="D12" s="501" t="n"/>
      <c r="E12" s="501" t="n"/>
      <c r="F12" s="501" t="n"/>
      <c r="G12" s="115" t="n"/>
      <c r="H12" s="115" t="n"/>
      <c r="I12" s="115" t="n"/>
      <c r="J12" s="115" t="n"/>
      <c r="K12" s="116" t="n"/>
      <c r="L12" s="522" t="n"/>
      <c r="M12" s="522" t="n"/>
      <c r="N12" s="522" t="n"/>
    </row>
    <row r="13" ht="18" customHeight="1" s="486">
      <c r="B13" s="509" t="inlineStr">
        <is>
          <t>www.glassflooringsystems.com</t>
        </is>
      </c>
      <c r="C13" s="99" t="n"/>
      <c r="D13" s="99" t="n"/>
      <c r="E13" s="99" t="n"/>
      <c r="F13" s="99" t="n"/>
      <c r="G13" s="506" t="n"/>
      <c r="H13" s="506" t="n"/>
      <c r="I13" s="506" t="n"/>
      <c r="J13" s="506" t="n"/>
      <c r="K13" s="506" t="n"/>
      <c r="L13" s="506" t="n"/>
      <c r="M13" s="506" t="n"/>
      <c r="N13" s="506" t="n"/>
    </row>
    <row r="14" ht="19" customHeight="1" s="486" thickBot="1">
      <c r="B14" s="117" t="n"/>
      <c r="C14" s="118" t="n"/>
      <c r="D14" s="118" t="n"/>
      <c r="E14" s="118" t="n"/>
      <c r="F14" s="118" t="n"/>
      <c r="G14" s="118" t="n"/>
      <c r="H14" s="118" t="n"/>
      <c r="I14" s="118" t="n"/>
      <c r="J14" s="118" t="n"/>
      <c r="K14" s="118" t="n"/>
      <c r="L14" s="118" t="n"/>
      <c r="M14" s="118" t="n"/>
      <c r="N14" s="118" t="n"/>
    </row>
    <row r="15" ht="19" customHeight="1" s="486" thickTop="1">
      <c r="B15" s="119" t="n"/>
      <c r="C15" s="119" t="n"/>
      <c r="D15" s="119" t="n"/>
      <c r="E15" s="119" t="n"/>
      <c r="F15" s="119" t="n"/>
      <c r="G15" s="119" t="n"/>
      <c r="H15" s="119" t="n"/>
      <c r="I15" s="119" t="n"/>
      <c r="J15" s="119" t="n"/>
      <c r="K15" s="119" t="n"/>
      <c r="L15" s="119" t="n"/>
      <c r="M15" s="119" t="n"/>
      <c r="N15" s="119" t="n"/>
    </row>
    <row r="16" ht="18" customHeight="1" s="486">
      <c r="B16" s="506" t="n"/>
      <c r="C16" s="506" t="n"/>
      <c r="D16" s="506" t="n"/>
      <c r="E16" s="506" t="n"/>
      <c r="F16" s="506" t="n"/>
      <c r="G16" s="506" t="n"/>
      <c r="H16" s="506" t="n"/>
      <c r="I16" s="506" t="n"/>
      <c r="J16" s="506" t="n"/>
      <c r="K16" s="506" t="n"/>
      <c r="L16" s="506" t="n"/>
      <c r="M16" s="506" t="n"/>
      <c r="N16" s="506" t="n"/>
    </row>
    <row r="17" ht="18" customHeight="1" s="486">
      <c r="B17" s="501" t="n"/>
    </row>
    <row r="18" ht="23" customHeight="1" s="486">
      <c r="B18" s="532" t="inlineStr">
        <is>
          <t>Customer</t>
        </is>
      </c>
      <c r="C18" s="99" t="n"/>
      <c r="D18" s="99" t="n"/>
      <c r="E18" s="99" t="n"/>
      <c r="F18" s="99" t="n"/>
      <c r="G18" s="114" t="n"/>
      <c r="H18" s="114" t="n"/>
      <c r="I18" s="114" t="n"/>
      <c r="J18" s="114" t="n"/>
      <c r="K18" s="626" t="n"/>
      <c r="L18" s="99" t="n"/>
      <c r="M18" s="99" t="n"/>
      <c r="N18" s="99" t="n"/>
    </row>
    <row r="19" ht="18" customHeight="1" s="486">
      <c r="B19" s="523">
        <f>#REF!</f>
        <v/>
      </c>
      <c r="C19" s="99" t="n"/>
      <c r="D19" s="99" t="n"/>
      <c r="E19" s="99" t="n"/>
      <c r="F19" s="498" t="n"/>
      <c r="G19" s="498" t="n"/>
      <c r="H19" s="498" t="n"/>
      <c r="I19" s="498" t="n"/>
      <c r="J19" s="498" t="n"/>
      <c r="K19" s="525" t="n"/>
      <c r="P19" s="108" t="n"/>
      <c r="Q19" s="109" t="n"/>
      <c r="R19" s="108" t="n"/>
    </row>
    <row r="20" ht="18" customHeight="1" s="486">
      <c r="B20" s="522">
        <f>#REF!</f>
        <v/>
      </c>
      <c r="C20" s="99" t="n"/>
      <c r="D20" s="99" t="n"/>
      <c r="E20" s="99" t="n"/>
      <c r="F20" s="498" t="n"/>
      <c r="G20" s="498" t="n"/>
      <c r="H20" s="498" t="n"/>
      <c r="I20" s="498" t="n"/>
      <c r="J20" s="498" t="n"/>
      <c r="K20" s="525" t="n"/>
      <c r="P20" s="108" t="n"/>
      <c r="Q20" s="109" t="n"/>
      <c r="R20" s="108" t="n"/>
    </row>
    <row r="21" ht="18" customHeight="1" s="486">
      <c r="B21" s="523" t="inlineStr">
        <is>
          <t xml:space="preserve">Attn: </t>
        </is>
      </c>
      <c r="C21" s="498">
        <f>#REF!</f>
        <v/>
      </c>
      <c r="F21" s="498" t="n"/>
      <c r="G21" s="498" t="n"/>
      <c r="H21" s="498" t="n"/>
      <c r="I21" s="498" t="n"/>
      <c r="J21" s="498" t="n"/>
      <c r="K21" s="525" t="n"/>
      <c r="P21" s="108" t="n"/>
      <c r="Q21" s="109" t="n"/>
      <c r="R21" s="108" t="n"/>
    </row>
    <row r="22" ht="18" customHeight="1" s="486">
      <c r="B22" s="523" t="n"/>
      <c r="C22" s="99" t="n"/>
      <c r="D22" s="99" t="n"/>
      <c r="E22" s="99" t="n"/>
      <c r="F22" s="498" t="n"/>
      <c r="G22" s="498" t="n"/>
      <c r="H22" s="498" t="n"/>
      <c r="I22" s="498" t="n"/>
      <c r="J22" s="498" t="n"/>
      <c r="K22" s="525" t="n"/>
      <c r="P22" s="108" t="n"/>
      <c r="Q22" s="109" t="n"/>
      <c r="R22" s="108" t="n"/>
    </row>
    <row r="23" ht="18" customHeight="1" s="486">
      <c r="B23" s="523" t="n"/>
      <c r="C23" s="498" t="n"/>
      <c r="D23" s="498" t="n"/>
      <c r="E23" s="498" t="n"/>
      <c r="F23" s="498" t="n"/>
      <c r="G23" s="498" t="n"/>
      <c r="H23" s="498" t="n"/>
      <c r="I23" s="498" t="n"/>
      <c r="J23" s="498" t="n"/>
      <c r="K23" s="525" t="n"/>
      <c r="L23" s="525" t="n"/>
      <c r="M23" s="525" t="n"/>
      <c r="N23" s="525" t="n"/>
      <c r="P23" s="108" t="n"/>
      <c r="Q23" s="109" t="n"/>
      <c r="R23" s="108" t="n"/>
    </row>
    <row r="24" ht="18" customHeight="1" s="486">
      <c r="B24" s="500" t="n"/>
      <c r="C24" s="500" t="n"/>
      <c r="D24" s="500" t="n"/>
      <c r="E24" s="500" t="n"/>
      <c r="F24" s="500" t="n"/>
      <c r="G24" s="500" t="n"/>
      <c r="H24" s="500" t="n"/>
      <c r="I24" s="500" t="n"/>
      <c r="J24" s="500" t="n"/>
      <c r="K24" s="500" t="n"/>
      <c r="L24" s="500" t="n"/>
      <c r="M24" s="500" t="n"/>
      <c r="N24" s="506" t="n"/>
    </row>
    <row r="25" ht="18" customFormat="1" customHeight="1" s="104">
      <c r="B25" s="527" t="inlineStr">
        <is>
          <t>Qty</t>
        </is>
      </c>
      <c r="C25" s="627" t="n"/>
      <c r="D25" s="527" t="inlineStr">
        <is>
          <t>Description</t>
        </is>
      </c>
      <c r="E25" s="628" t="n"/>
      <c r="F25" s="628" t="n"/>
      <c r="G25" s="628" t="n"/>
      <c r="H25" s="628" t="n"/>
      <c r="I25" s="628" t="n"/>
      <c r="J25" s="627" t="n"/>
      <c r="K25" s="527" t="inlineStr">
        <is>
          <t>Price</t>
        </is>
      </c>
      <c r="L25" s="628" t="n"/>
      <c r="M25" s="627" t="n"/>
      <c r="N25" s="147" t="inlineStr">
        <is>
          <t>Amount</t>
        </is>
      </c>
    </row>
    <row r="26" ht="21" customHeight="1" s="486">
      <c r="B26" s="515" t="n"/>
      <c r="C26" s="627" t="n"/>
      <c r="D26" s="519" t="n"/>
      <c r="E26" s="432" t="n"/>
      <c r="F26" s="432" t="n"/>
      <c r="G26" s="432" t="n"/>
      <c r="H26" s="432" t="n"/>
      <c r="I26" s="432" t="n"/>
      <c r="J26" s="433" t="n"/>
      <c r="K26" s="629" t="n">
        <v>0</v>
      </c>
      <c r="L26" s="432" t="n"/>
      <c r="M26" s="433" t="n"/>
      <c r="N26" s="630">
        <f>B26*K26</f>
        <v/>
      </c>
    </row>
    <row r="27" ht="21" customHeight="1" s="486">
      <c r="B27" s="515" t="n"/>
      <c r="C27" s="627" t="n"/>
      <c r="D27" s="519" t="n"/>
      <c r="E27" s="432" t="n"/>
      <c r="F27" s="432" t="n"/>
      <c r="G27" s="432" t="n"/>
      <c r="H27" s="432" t="n"/>
      <c r="I27" s="432" t="n"/>
      <c r="J27" s="433" t="n"/>
      <c r="K27" s="629" t="n">
        <v>0</v>
      </c>
      <c r="L27" s="432" t="n"/>
      <c r="M27" s="433" t="n"/>
      <c r="N27" s="630">
        <f>B27*K27</f>
        <v/>
      </c>
    </row>
    <row r="28" ht="18" customHeight="1" s="486">
      <c r="B28" s="515" t="n"/>
      <c r="C28" s="627" t="n"/>
      <c r="D28" s="519" t="n"/>
      <c r="E28" s="432" t="n"/>
      <c r="F28" s="432" t="n"/>
      <c r="G28" s="432" t="n"/>
      <c r="H28" s="432" t="n"/>
      <c r="I28" s="432" t="n"/>
      <c r="J28" s="433" t="n"/>
      <c r="K28" s="629" t="n">
        <v>0</v>
      </c>
      <c r="L28" s="432" t="n"/>
      <c r="M28" s="433" t="n"/>
      <c r="N28" s="630">
        <f>B28*K28</f>
        <v/>
      </c>
    </row>
    <row r="29" ht="18" customHeight="1" s="486">
      <c r="B29" s="515" t="n"/>
      <c r="C29" s="627" t="n"/>
      <c r="D29" s="519" t="n"/>
      <c r="E29" s="432" t="n"/>
      <c r="F29" s="432" t="n"/>
      <c r="G29" s="432" t="n"/>
      <c r="H29" s="432" t="n"/>
      <c r="I29" s="432" t="n"/>
      <c r="J29" s="433" t="n"/>
      <c r="K29" s="629" t="n">
        <v>0</v>
      </c>
      <c r="L29" s="432" t="n"/>
      <c r="M29" s="433" t="n"/>
      <c r="N29" s="630">
        <f>B29*K29</f>
        <v/>
      </c>
    </row>
    <row r="30" ht="18" customHeight="1" s="486">
      <c r="B30" s="515" t="n"/>
      <c r="C30" s="627" t="n"/>
      <c r="D30" s="519" t="n"/>
      <c r="E30" s="432" t="n"/>
      <c r="F30" s="432" t="n"/>
      <c r="G30" s="432" t="n"/>
      <c r="H30" s="432" t="n"/>
      <c r="I30" s="432" t="n"/>
      <c r="J30" s="433" t="n"/>
      <c r="K30" s="629" t="n">
        <v>0</v>
      </c>
      <c r="L30" s="432" t="n"/>
      <c r="M30" s="433" t="n"/>
      <c r="N30" s="630">
        <f>B30*K30</f>
        <v/>
      </c>
    </row>
    <row r="31" ht="18" customHeight="1" s="486">
      <c r="B31" s="515" t="n"/>
      <c r="C31" s="627" t="n"/>
      <c r="D31" s="519" t="n"/>
      <c r="E31" s="432" t="n"/>
      <c r="F31" s="432" t="n"/>
      <c r="G31" s="432" t="n"/>
      <c r="H31" s="432" t="n"/>
      <c r="I31" s="432" t="n"/>
      <c r="J31" s="433" t="n"/>
      <c r="K31" s="629" t="n">
        <v>0</v>
      </c>
      <c r="L31" s="432" t="n"/>
      <c r="M31" s="433" t="n"/>
      <c r="N31" s="630">
        <f>B31*K31</f>
        <v/>
      </c>
    </row>
    <row r="32" ht="18" customHeight="1" s="486">
      <c r="B32" s="515" t="n"/>
      <c r="C32" s="627" t="n"/>
      <c r="D32" s="519" t="n"/>
      <c r="E32" s="432" t="n"/>
      <c r="F32" s="432" t="n"/>
      <c r="G32" s="432" t="n"/>
      <c r="H32" s="432" t="n"/>
      <c r="I32" s="432" t="n"/>
      <c r="J32" s="433" t="n"/>
      <c r="K32" s="629" t="n">
        <v>0</v>
      </c>
      <c r="L32" s="432" t="n"/>
      <c r="M32" s="433" t="n"/>
      <c r="N32" s="630">
        <f>B32*K32</f>
        <v/>
      </c>
    </row>
    <row r="33" ht="18" customHeight="1" s="486">
      <c r="B33" s="515" t="n"/>
      <c r="C33" s="627" t="n"/>
      <c r="D33" s="519" t="n"/>
      <c r="E33" s="432" t="n"/>
      <c r="F33" s="432" t="n"/>
      <c r="G33" s="432" t="n"/>
      <c r="H33" s="432" t="n"/>
      <c r="I33" s="432" t="n"/>
      <c r="J33" s="433" t="n"/>
      <c r="K33" s="629" t="n">
        <v>0</v>
      </c>
      <c r="L33" s="432" t="n"/>
      <c r="M33" s="433" t="n"/>
      <c r="N33" s="630">
        <f>B33*K33</f>
        <v/>
      </c>
    </row>
    <row r="34" ht="18" customHeight="1" s="486">
      <c r="B34" s="515" t="n"/>
      <c r="C34" s="627" t="n"/>
      <c r="D34" s="519" t="n"/>
      <c r="E34" s="432" t="n"/>
      <c r="F34" s="432" t="n"/>
      <c r="G34" s="432" t="n"/>
      <c r="H34" s="432" t="n"/>
      <c r="I34" s="432" t="n"/>
      <c r="J34" s="433" t="n"/>
      <c r="K34" s="629" t="n">
        <v>0</v>
      </c>
      <c r="L34" s="432" t="n"/>
      <c r="M34" s="433" t="n"/>
      <c r="N34" s="630">
        <f>B34*K34</f>
        <v/>
      </c>
    </row>
    <row r="35" ht="18" customHeight="1" s="486">
      <c r="B35" s="515" t="n"/>
      <c r="C35" s="627" t="n"/>
      <c r="D35" s="519" t="n"/>
      <c r="E35" s="432" t="n"/>
      <c r="F35" s="432" t="n"/>
      <c r="G35" s="432" t="n"/>
      <c r="H35" s="432" t="n"/>
      <c r="I35" s="432" t="n"/>
      <c r="J35" s="433" t="n"/>
      <c r="K35" s="629" t="n">
        <v>0</v>
      </c>
      <c r="L35" s="432" t="n"/>
      <c r="M35" s="433" t="n"/>
      <c r="N35" s="630">
        <f>B35*K35</f>
        <v/>
      </c>
    </row>
    <row r="36" ht="18" customHeight="1" s="486">
      <c r="B36" s="515" t="n"/>
      <c r="C36" s="627" t="n"/>
      <c r="D36" s="519" t="n"/>
      <c r="E36" s="432" t="n"/>
      <c r="F36" s="432" t="n"/>
      <c r="G36" s="432" t="n"/>
      <c r="H36" s="432" t="n"/>
      <c r="I36" s="432" t="n"/>
      <c r="J36" s="433" t="n"/>
      <c r="K36" s="629" t="n">
        <v>0</v>
      </c>
      <c r="L36" s="432" t="n"/>
      <c r="M36" s="433" t="n"/>
      <c r="N36" s="630">
        <f>B36*K36</f>
        <v/>
      </c>
    </row>
    <row r="37" ht="18" customHeight="1" s="486">
      <c r="B37" s="516" t="inlineStr">
        <is>
          <t>Note: This change order becomes part of and in conformance with the existing contract</t>
        </is>
      </c>
      <c r="C37" s="628" t="n"/>
      <c r="D37" s="628" t="n"/>
      <c r="E37" s="628" t="n"/>
      <c r="F37" s="628" t="n"/>
      <c r="G37" s="628" t="n"/>
      <c r="H37" s="628" t="n"/>
      <c r="I37" s="628" t="n"/>
      <c r="J37" s="628" t="n"/>
      <c r="K37" s="628" t="n"/>
      <c r="L37" s="628" t="n"/>
      <c r="M37" s="628" t="n"/>
      <c r="N37" s="628" t="n"/>
    </row>
    <row r="38" ht="18" customHeight="1" s="486">
      <c r="B38" s="500" t="n"/>
      <c r="C38" s="125" t="n"/>
      <c r="D38" s="501" t="n"/>
      <c r="E38" s="501" t="n"/>
      <c r="F38" s="501" t="n"/>
      <c r="G38" s="501" t="n"/>
      <c r="H38" s="501" t="n"/>
      <c r="I38" s="501" t="n"/>
      <c r="J38" s="501" t="n"/>
      <c r="K38" s="501" t="n"/>
      <c r="L38" s="501" t="n"/>
      <c r="M38" s="501" t="n"/>
      <c r="N38" s="501" t="n"/>
    </row>
    <row r="39" ht="18" customHeight="1" s="486">
      <c r="B39" s="500" t="n"/>
      <c r="C39" s="125" t="n"/>
      <c r="D39" s="501" t="n"/>
      <c r="E39" s="511" t="inlineStr">
        <is>
          <t>We agree to the changes specified above at this price</t>
        </is>
      </c>
      <c r="N39" s="631">
        <f>SUM(N26:N36)</f>
        <v/>
      </c>
    </row>
    <row r="40" ht="18" customHeight="1" s="486">
      <c r="B40" s="500" t="n"/>
      <c r="C40" s="125" t="n"/>
      <c r="D40" s="501" t="n"/>
      <c r="E40" s="511" t="inlineStr">
        <is>
          <t>Previous contract amount</t>
        </is>
      </c>
      <c r="N40" s="631">
        <f>Proposal!#REF!</f>
        <v/>
      </c>
    </row>
    <row r="41" ht="18" customHeight="1" s="486">
      <c r="B41" s="500" t="n"/>
      <c r="C41" s="125" t="n"/>
      <c r="D41" s="501" t="n"/>
      <c r="E41" s="511" t="inlineStr">
        <is>
          <t>Revised contract price</t>
        </is>
      </c>
      <c r="N41" s="631">
        <f>N40+N39</f>
        <v/>
      </c>
    </row>
    <row r="42" ht="18" customHeight="1" s="486">
      <c r="B42" s="500" t="n"/>
      <c r="C42" s="125" t="n"/>
      <c r="D42" s="501" t="n"/>
      <c r="E42" s="501" t="n"/>
      <c r="F42" s="501" t="n"/>
      <c r="G42" s="501" t="n"/>
      <c r="H42" s="501" t="n"/>
      <c r="I42" s="501" t="n"/>
      <c r="J42" s="501" t="n"/>
      <c r="K42" s="501" t="n"/>
      <c r="L42" s="501" t="n"/>
      <c r="M42" s="501" t="n"/>
      <c r="N42" s="501" t="n"/>
    </row>
    <row r="43" ht="18" customHeight="1" s="486">
      <c r="B43" s="500" t="n"/>
      <c r="C43" s="500" t="n"/>
      <c r="D43" s="501" t="n"/>
      <c r="E43" s="501" t="n"/>
      <c r="F43" s="501" t="n"/>
      <c r="G43" s="501" t="n"/>
      <c r="H43" s="501" t="n"/>
      <c r="I43" s="501" t="n"/>
      <c r="J43" s="501" t="n"/>
      <c r="K43" s="501" t="n"/>
      <c r="L43" s="501" t="n"/>
      <c r="M43" s="501" t="n"/>
      <c r="N43" s="501" t="n"/>
    </row>
    <row r="44" ht="18" customHeight="1" s="486">
      <c r="B44" s="500" t="n"/>
      <c r="C44" s="499" t="n"/>
      <c r="D44" s="99" t="n"/>
      <c r="E44" s="99" t="n"/>
      <c r="F44" s="99" t="n"/>
      <c r="G44" s="99" t="n"/>
      <c r="H44" s="99" t="n"/>
      <c r="I44" s="99" t="n"/>
      <c r="J44" s="99" t="n"/>
      <c r="K44" s="99" t="n"/>
      <c r="L44" s="99" t="n"/>
      <c r="M44" s="99" t="n"/>
      <c r="N44" s="99" t="n"/>
    </row>
    <row r="45" ht="18" customHeight="1" s="486">
      <c r="B45" s="500" t="n"/>
      <c r="C45" s="499" t="n"/>
      <c r="D45" s="121" t="n"/>
      <c r="E45" s="121" t="n"/>
      <c r="F45" s="121" t="n"/>
      <c r="G45" s="121" t="n"/>
      <c r="H45" s="121" t="n"/>
      <c r="I45" s="121" t="n"/>
      <c r="J45" s="121" t="n"/>
      <c r="K45" s="121" t="n"/>
      <c r="L45" s="121" t="n"/>
      <c r="M45" s="500" t="n"/>
      <c r="N45" s="506" t="n"/>
    </row>
    <row r="46" ht="18" customHeight="1" s="486">
      <c r="B46" s="500" t="n"/>
      <c r="C46" s="99" t="n"/>
      <c r="D46" s="99" t="n"/>
      <c r="E46" s="99" t="n"/>
      <c r="F46" s="99" t="n"/>
      <c r="G46" s="99" t="n"/>
      <c r="H46" s="99" t="n"/>
      <c r="I46" s="99" t="n"/>
      <c r="J46" s="99" t="n"/>
      <c r="K46" s="99" t="n"/>
      <c r="L46" s="99" t="n"/>
      <c r="M46" s="99" t="n"/>
      <c r="N46" s="506" t="n"/>
    </row>
    <row r="47" ht="18" customHeight="1" s="486">
      <c r="B47" s="499" t="n"/>
      <c r="C47" s="121" t="n"/>
      <c r="D47" s="121" t="n"/>
      <c r="E47" s="121" t="n"/>
      <c r="F47" s="121" t="n"/>
      <c r="G47" s="121" t="n"/>
      <c r="H47" s="121" t="n"/>
      <c r="I47" s="121" t="n"/>
      <c r="J47" s="121" t="n"/>
      <c r="K47" s="121" t="n"/>
      <c r="L47" s="500" t="n"/>
      <c r="M47" s="506" t="n"/>
      <c r="N47" s="506" t="n"/>
    </row>
    <row r="48" ht="18" customHeight="1" s="486">
      <c r="B48" s="513" t="inlineStr">
        <is>
          <t>Accepted - The above prices and specifications of this change order are satisfactory and are hereby accepted. All work to be performed under same terms and conditions as specified in original contract unless otherwise stipulated.</t>
        </is>
      </c>
      <c r="C48" s="99" t="n"/>
      <c r="D48" s="99" t="n"/>
      <c r="E48" s="99" t="n"/>
      <c r="F48" s="99" t="n"/>
      <c r="G48" s="99" t="n"/>
      <c r="H48" s="99" t="n"/>
      <c r="I48" s="99" t="n"/>
      <c r="J48" s="99" t="n"/>
      <c r="K48" s="121" t="n"/>
      <c r="L48" s="500" t="n"/>
      <c r="M48" s="506" t="n"/>
      <c r="N48" s="506" t="n"/>
    </row>
    <row r="49" ht="18" customHeight="1" s="486">
      <c r="B49" s="99" t="n"/>
      <c r="C49" s="99" t="n"/>
      <c r="D49" s="99" t="n"/>
      <c r="E49" s="99" t="n"/>
      <c r="F49" s="99" t="n"/>
      <c r="G49" s="99" t="n"/>
      <c r="H49" s="99" t="n"/>
      <c r="I49" s="99" t="n"/>
      <c r="J49" s="99" t="n"/>
      <c r="K49" s="121" t="n"/>
      <c r="L49" s="500" t="n"/>
      <c r="M49" s="506" t="n"/>
      <c r="N49" s="506" t="n"/>
    </row>
    <row r="50" ht="18" customHeight="1" s="486">
      <c r="B50" s="99" t="n"/>
      <c r="C50" s="99" t="n"/>
      <c r="D50" s="99" t="n"/>
      <c r="E50" s="99" t="n"/>
      <c r="F50" s="99" t="n"/>
      <c r="G50" s="99" t="n"/>
      <c r="H50" s="99" t="n"/>
      <c r="I50" s="99" t="n"/>
      <c r="J50" s="99" t="n"/>
      <c r="K50" s="121" t="n"/>
      <c r="L50" s="121" t="n"/>
      <c r="M50" s="500" t="n"/>
      <c r="N50" s="506" t="n"/>
    </row>
    <row r="51" ht="18" customHeight="1" s="486">
      <c r="B51" s="99" t="n"/>
      <c r="C51" s="99" t="n"/>
      <c r="D51" s="99" t="n"/>
      <c r="E51" s="99" t="n"/>
      <c r="F51" s="99" t="n"/>
      <c r="G51" s="99" t="n"/>
      <c r="H51" s="99" t="n"/>
      <c r="I51" s="99" t="n"/>
      <c r="J51" s="99" t="n"/>
      <c r="K51" s="121" t="n"/>
      <c r="L51" s="121" t="n"/>
      <c r="M51" s="500" t="n"/>
      <c r="N51" s="506" t="n"/>
    </row>
    <row r="52" ht="18" customHeight="1" s="486">
      <c r="B52" s="99" t="n"/>
      <c r="C52" s="99" t="n"/>
      <c r="D52" s="99" t="n"/>
      <c r="E52" s="99" t="n"/>
      <c r="F52" s="99" t="n"/>
      <c r="G52" s="99" t="n"/>
      <c r="H52" s="99" t="n"/>
      <c r="I52" s="99" t="n"/>
      <c r="J52" s="99" t="n"/>
      <c r="K52" s="121" t="n"/>
      <c r="L52" s="121" t="n"/>
      <c r="M52" s="500" t="n"/>
      <c r="N52" s="506" t="n"/>
    </row>
    <row r="53" ht="18" customHeight="1" s="486">
      <c r="B53" s="99" t="n"/>
      <c r="C53" s="99" t="n"/>
      <c r="D53" s="99" t="n"/>
      <c r="E53" s="99" t="n"/>
      <c r="F53" s="99" t="n"/>
      <c r="G53" s="99" t="n"/>
      <c r="H53" s="99" t="n"/>
      <c r="I53" s="99" t="n"/>
      <c r="J53" s="99" t="n"/>
      <c r="K53" s="121" t="n"/>
      <c r="L53" s="121" t="n"/>
      <c r="M53" s="500" t="n"/>
      <c r="N53" s="506" t="n"/>
    </row>
    <row r="54" ht="18" customHeight="1" s="486">
      <c r="B54" s="500" t="n"/>
      <c r="C54" s="499" t="n"/>
      <c r="D54" s="121" t="n"/>
      <c r="E54" s="121" t="n"/>
      <c r="F54" s="121" t="n"/>
      <c r="G54" s="121" t="n"/>
      <c r="H54" s="121" t="n"/>
      <c r="I54" s="121" t="n"/>
      <c r="J54" s="121" t="n"/>
      <c r="K54" s="121" t="n"/>
      <c r="L54" s="121" t="n"/>
      <c r="M54" s="500" t="n"/>
      <c r="N54" s="506" t="n"/>
    </row>
    <row r="55" ht="18" customHeight="1" s="486">
      <c r="B55" s="500" t="inlineStr">
        <is>
          <t xml:space="preserve">Signature - </t>
        </is>
      </c>
      <c r="C55" s="499" t="n"/>
      <c r="D55" s="148" t="n"/>
      <c r="E55" s="148" t="n"/>
      <c r="F55" s="148" t="n"/>
      <c r="G55" s="148" t="n"/>
      <c r="H55" s="148" t="n"/>
      <c r="I55" s="148" t="n"/>
      <c r="J55" s="148" t="n"/>
      <c r="K55" s="121" t="n"/>
      <c r="L55" s="121" t="n"/>
      <c r="M55" s="500" t="n"/>
      <c r="N55" s="506" t="n"/>
    </row>
    <row r="56" ht="18" customHeight="1" s="486">
      <c r="B56" s="500" t="n"/>
      <c r="C56" s="499" t="n"/>
      <c r="D56" s="121" t="n"/>
      <c r="E56" s="121" t="n"/>
      <c r="F56" s="121" t="n"/>
      <c r="G56" s="121" t="n"/>
      <c r="H56" s="121" t="n"/>
      <c r="I56" s="121" t="n"/>
      <c r="J56" s="121" t="n"/>
      <c r="K56" s="121" t="n"/>
      <c r="L56" s="121" t="n"/>
      <c r="M56" s="500" t="n"/>
      <c r="N56" s="506" t="n"/>
    </row>
    <row r="57" ht="18" customHeight="1" s="486">
      <c r="B57" s="500" t="inlineStr">
        <is>
          <t xml:space="preserve">Date of acceptance - </t>
        </is>
      </c>
      <c r="C57" s="499" t="n"/>
      <c r="D57" s="121" t="n"/>
      <c r="E57" s="148" t="n"/>
      <c r="F57" s="148" t="n"/>
      <c r="G57" s="148" t="n"/>
      <c r="H57" s="148" t="n"/>
      <c r="I57" s="148" t="n"/>
      <c r="J57" s="148" t="n"/>
      <c r="K57" s="121" t="n"/>
      <c r="L57" s="121" t="n"/>
      <c r="M57" s="500" t="n"/>
      <c r="N57" s="506" t="n"/>
    </row>
    <row r="58" ht="18" customHeight="1" s="486">
      <c r="B58" s="500" t="n"/>
      <c r="C58" s="499" t="n"/>
      <c r="D58" s="121" t="n"/>
      <c r="E58" s="121" t="n"/>
      <c r="F58" s="121" t="n"/>
      <c r="G58" s="121" t="n"/>
      <c r="H58" s="121" t="n"/>
      <c r="I58" s="121" t="n"/>
      <c r="J58" s="121" t="n"/>
      <c r="K58" s="121" t="n"/>
      <c r="L58" s="121" t="n"/>
      <c r="M58" s="500" t="n"/>
      <c r="N58" s="506" t="n"/>
    </row>
    <row r="59" ht="18" customHeight="1" s="486">
      <c r="B59" s="500" t="n"/>
      <c r="C59" s="499" t="n"/>
      <c r="D59" s="121" t="n"/>
      <c r="E59" s="121" t="n"/>
      <c r="F59" s="121" t="n"/>
      <c r="G59" s="121" t="n"/>
      <c r="H59" s="121" t="n"/>
      <c r="I59" s="121" t="n"/>
      <c r="J59" s="121" t="n"/>
      <c r="K59" s="121" t="n"/>
      <c r="L59" s="121" t="n"/>
      <c r="M59" s="500" t="n"/>
      <c r="N59" s="506" t="n"/>
    </row>
    <row r="60" ht="18" customHeight="1" s="486">
      <c r="B60" s="506" t="n"/>
      <c r="C60" s="506" t="n"/>
      <c r="D60" s="506" t="n"/>
      <c r="E60" s="506" t="n"/>
      <c r="F60" s="506" t="n"/>
      <c r="G60" s="506" t="n"/>
      <c r="H60" s="506" t="n"/>
      <c r="I60" s="506" t="n"/>
      <c r="J60" s="506" t="n"/>
      <c r="K60" s="506" t="n"/>
      <c r="L60" s="506" t="n"/>
      <c r="M60" s="506" t="n"/>
      <c r="N60" s="506" t="n"/>
    </row>
    <row r="61" ht="18" customHeight="1" s="486">
      <c r="B61" s="506" t="n"/>
      <c r="C61" s="506" t="n"/>
      <c r="D61" s="506" t="n"/>
      <c r="E61" s="506" t="n"/>
      <c r="F61" s="506" t="n"/>
      <c r="G61" s="506" t="n"/>
      <c r="H61" s="506" t="n"/>
      <c r="I61" s="506" t="n"/>
      <c r="J61" s="506" t="n"/>
      <c r="K61" s="506" t="n"/>
      <c r="L61" s="506" t="n"/>
      <c r="M61" s="506" t="n"/>
      <c r="N61" s="506" t="n"/>
    </row>
    <row r="62" ht="18" customHeight="1" s="486">
      <c r="B62" s="506" t="n"/>
      <c r="C62" s="506" t="n"/>
      <c r="D62" s="506" t="n"/>
      <c r="E62" s="506" t="n"/>
      <c r="F62" s="506" t="n"/>
      <c r="G62" s="506" t="n"/>
      <c r="H62" s="506" t="n"/>
      <c r="I62" s="506" t="n"/>
      <c r="J62" s="506" t="n"/>
      <c r="K62" s="506" t="n"/>
      <c r="L62" s="506" t="n"/>
      <c r="M62" s="506" t="n"/>
      <c r="N62" s="506" t="n"/>
    </row>
    <row r="63" ht="18" customHeight="1" s="486">
      <c r="B63" s="506" t="n"/>
      <c r="C63" s="506" t="n"/>
      <c r="D63" s="506" t="n"/>
      <c r="E63" s="506" t="n"/>
      <c r="F63" s="506" t="n"/>
      <c r="G63" s="506" t="n"/>
      <c r="H63" s="506" t="n"/>
      <c r="I63" s="506" t="n"/>
      <c r="J63" s="506" t="n"/>
      <c r="K63" s="506" t="n"/>
      <c r="L63" s="506" t="n"/>
      <c r="M63" s="506" t="n"/>
      <c r="N63" s="506" t="n"/>
    </row>
    <row r="64" ht="18" customHeight="1" s="486">
      <c r="B64" s="506" t="n"/>
      <c r="C64" s="506" t="n"/>
      <c r="D64" s="506" t="n"/>
      <c r="E64" s="506" t="n"/>
      <c r="F64" s="506" t="n"/>
      <c r="G64" s="506" t="n"/>
      <c r="H64" s="506" t="n"/>
      <c r="I64" s="506" t="n"/>
      <c r="J64" s="506" t="n"/>
      <c r="K64" s="506" t="n"/>
      <c r="L64" s="506" t="n"/>
      <c r="M64" s="506" t="n"/>
      <c r="N64" s="506" t="n"/>
    </row>
    <row r="65" ht="19" customHeight="1" s="486">
      <c r="B65" s="492" t="n"/>
    </row>
    <row r="66" ht="16" customHeight="1" s="486">
      <c r="B66" s="521" t="n"/>
    </row>
    <row r="67" ht="14" customHeight="1" s="486">
      <c r="B67" s="521" t="n"/>
    </row>
  </sheetData>
  <mergeCells count="70">
    <mergeCell ref="D28:J28"/>
    <mergeCell ref="B37:N37"/>
    <mergeCell ref="C6:D6"/>
    <mergeCell ref="K32:M32"/>
    <mergeCell ref="B25:C25"/>
    <mergeCell ref="B65:N65"/>
    <mergeCell ref="C5:D5"/>
    <mergeCell ref="D25:J25"/>
    <mergeCell ref="K31:M31"/>
    <mergeCell ref="C44:N44"/>
    <mergeCell ref="E40:M40"/>
    <mergeCell ref="D30:J30"/>
    <mergeCell ref="B31:C31"/>
    <mergeCell ref="B20:E20"/>
    <mergeCell ref="C21:E21"/>
    <mergeCell ref="B27:C27"/>
    <mergeCell ref="D33:J33"/>
    <mergeCell ref="D29:J29"/>
    <mergeCell ref="B18:F18"/>
    <mergeCell ref="K19:N19"/>
    <mergeCell ref="K18:N18"/>
    <mergeCell ref="D26:J26"/>
    <mergeCell ref="K27:M27"/>
    <mergeCell ref="J8:M8"/>
    <mergeCell ref="C3:L3"/>
    <mergeCell ref="B11:F11"/>
    <mergeCell ref="D35:J35"/>
    <mergeCell ref="D34:J34"/>
    <mergeCell ref="J5:M5"/>
    <mergeCell ref="B13:F13"/>
    <mergeCell ref="B22:E22"/>
    <mergeCell ref="D31:J31"/>
    <mergeCell ref="B66:N66"/>
    <mergeCell ref="B29:C29"/>
    <mergeCell ref="E41:M41"/>
    <mergeCell ref="K28:M28"/>
    <mergeCell ref="D36:J36"/>
    <mergeCell ref="J9:M9"/>
    <mergeCell ref="K21:N21"/>
    <mergeCell ref="B34:C34"/>
    <mergeCell ref="B28:C28"/>
    <mergeCell ref="K20:N20"/>
    <mergeCell ref="J6:M6"/>
    <mergeCell ref="K34:M34"/>
    <mergeCell ref="B2:N2"/>
    <mergeCell ref="D27:J27"/>
    <mergeCell ref="K25:M25"/>
    <mergeCell ref="K30:M30"/>
    <mergeCell ref="B48:J53"/>
    <mergeCell ref="K33:M33"/>
    <mergeCell ref="D32:J32"/>
    <mergeCell ref="B30:C30"/>
    <mergeCell ref="B67:N67"/>
    <mergeCell ref="K22:N22"/>
    <mergeCell ref="C7:D7"/>
    <mergeCell ref="B33:C33"/>
    <mergeCell ref="B26:C26"/>
    <mergeCell ref="K36:M36"/>
    <mergeCell ref="K29:M29"/>
    <mergeCell ref="J4:M4"/>
    <mergeCell ref="B17:N17"/>
    <mergeCell ref="B46:M46"/>
    <mergeCell ref="B36:C36"/>
    <mergeCell ref="B32:C32"/>
    <mergeCell ref="E39:M39"/>
    <mergeCell ref="B19:E19"/>
    <mergeCell ref="K26:M26"/>
    <mergeCell ref="K35:M35"/>
    <mergeCell ref="J7:M7"/>
    <mergeCell ref="B35:C35"/>
  </mergeCells>
  <hyperlinks>
    <hyperlink xmlns:r="http://schemas.openxmlformats.org/officeDocument/2006/relationships" ref="N9" r:id="rId1"/>
    <hyperlink xmlns:r="http://schemas.openxmlformats.org/officeDocument/2006/relationships" ref="B13" r:id="rId2"/>
  </hyperlinks>
  <pageMargins left="0.7" right="0.7" top="0.75" bottom="0.75" header="0.3" footer="0.3"/>
  <pageSetup orientation="portrait" scale="60" horizontalDpi="0" verticalDpi="0"/>
  <colBreaks count="1" manualBreakCount="1">
    <brk id="14" min="0" max="1048575" man="1"/>
  </colBreaks>
  <drawing xmlns:r="http://schemas.openxmlformats.org/officeDocument/2006/relationships" r:id="rId3"/>
</worksheet>
</file>

<file path=xl/worksheets/sheet7.xml><?xml version="1.0" encoding="utf-8"?>
<worksheet xmlns="http://schemas.openxmlformats.org/spreadsheetml/2006/main">
  <sheetPr>
    <outlinePr summaryBelow="1" summaryRight="1"/>
    <pageSetUpPr/>
  </sheetPr>
  <dimension ref="B2:R67"/>
  <sheetViews>
    <sheetView topLeftCell="A63" workbookViewId="0">
      <selection activeCell="H11" sqref="H11"/>
    </sheetView>
  </sheetViews>
  <sheetFormatPr baseColWidth="10" defaultColWidth="9.1640625" defaultRowHeight="13"/>
  <cols>
    <col width="1.83203125" customWidth="1" style="99" min="1" max="1"/>
    <col width="6.6640625" customWidth="1" style="99" min="2" max="2"/>
    <col width="9.33203125" customWidth="1" style="100" min="3" max="3"/>
    <col width="9" customWidth="1" style="100" min="4" max="4"/>
    <col width="16.1640625" customWidth="1" style="100" min="5" max="5"/>
    <col width="7.83203125" customWidth="1" style="100" min="6" max="6"/>
    <col width="4.6640625" customWidth="1" style="100" min="7" max="9"/>
    <col width="14" customWidth="1" style="100" min="10" max="10"/>
    <col width="7.83203125" customWidth="1" style="100" min="11" max="11"/>
    <col hidden="1" width="4.83203125" customWidth="1" style="99" min="12" max="12"/>
    <col width="8" customWidth="1" style="99" min="13" max="13"/>
    <col width="36.33203125" customWidth="1" style="99" min="14" max="14"/>
    <col width="9.1640625" customWidth="1" style="99" min="15" max="15"/>
    <col width="40.33203125" customWidth="1" style="99" min="16" max="16"/>
    <col width="35.5" customWidth="1" style="99" min="17" max="18"/>
    <col width="9.1640625" customWidth="1" style="99" min="19" max="16384"/>
  </cols>
  <sheetData>
    <row r="2" ht="33" customHeight="1" s="486">
      <c r="B2" s="536" t="inlineStr">
        <is>
          <t xml:space="preserve">Claim Invoice </t>
        </is>
      </c>
      <c r="C2" s="99" t="n"/>
      <c r="D2" s="99" t="n"/>
      <c r="E2" s="99" t="n"/>
      <c r="F2" s="99" t="n"/>
      <c r="G2" s="99" t="n"/>
      <c r="H2" s="99" t="n"/>
      <c r="I2" s="99" t="n"/>
      <c r="J2" s="99" t="n"/>
      <c r="K2" s="99" t="n"/>
      <c r="L2" s="99" t="n"/>
      <c r="M2" s="99" t="n"/>
      <c r="N2" s="99" t="n"/>
    </row>
    <row r="3" ht="17" customHeight="1" s="486">
      <c r="C3" s="529" t="n"/>
      <c r="D3" s="99" t="n"/>
      <c r="E3" s="99" t="n"/>
      <c r="F3" s="99" t="n"/>
      <c r="G3" s="99" t="n"/>
      <c r="H3" s="99" t="n"/>
      <c r="I3" s="99" t="n"/>
      <c r="J3" s="99" t="n"/>
      <c r="K3" s="99" t="n"/>
      <c r="L3" s="99" t="n"/>
      <c r="P3" s="98" t="n"/>
      <c r="Q3" s="98" t="n"/>
    </row>
    <row r="4" ht="16" customHeight="1" s="486">
      <c r="C4" s="103" t="n"/>
      <c r="D4" s="104" t="n"/>
      <c r="E4" s="104" t="n"/>
      <c r="F4" s="104" t="n"/>
      <c r="G4" s="104" t="n"/>
      <c r="H4" s="104" t="n"/>
      <c r="I4" s="104" t="n"/>
      <c r="J4" s="530" t="n"/>
      <c r="K4" s="99" t="n"/>
      <c r="L4" s="99" t="n"/>
      <c r="M4" s="99" t="n"/>
      <c r="N4" s="111" t="n"/>
      <c r="P4" s="98" t="n"/>
      <c r="Q4" s="98" t="n"/>
    </row>
    <row r="5" ht="18" customHeight="1" s="486">
      <c r="C5" s="535" t="n"/>
      <c r="D5" s="99" t="n"/>
      <c r="E5" s="535" t="n"/>
      <c r="F5" s="535" t="n"/>
      <c r="G5" s="535" t="n"/>
      <c r="H5" s="535" t="n"/>
      <c r="I5" s="535" t="n"/>
      <c r="J5" s="530" t="inlineStr">
        <is>
          <t>Date:</t>
        </is>
      </c>
      <c r="K5" s="99" t="n"/>
      <c r="L5" s="99" t="n"/>
      <c r="M5" s="99" t="n"/>
      <c r="N5" s="112">
        <f>TODAY()</f>
        <v/>
      </c>
      <c r="P5" s="98" t="n"/>
      <c r="Q5" s="98" t="n"/>
    </row>
    <row r="6" ht="18" customHeight="1" s="486">
      <c r="C6" s="535" t="n"/>
      <c r="D6" s="99" t="n"/>
      <c r="E6" s="535" t="n"/>
      <c r="F6" s="535" t="n"/>
      <c r="G6" s="535" t="n"/>
      <c r="H6" s="535" t="n"/>
      <c r="I6" s="535" t="n"/>
      <c r="J6" s="507" t="inlineStr">
        <is>
          <t>Project Name:</t>
        </is>
      </c>
      <c r="K6" s="99" t="n"/>
      <c r="L6" s="99" t="n"/>
      <c r="M6" s="99" t="n"/>
      <c r="N6" s="506">
        <f>#REF!</f>
        <v/>
      </c>
      <c r="P6" s="98" t="n"/>
      <c r="Q6" s="98" t="n"/>
    </row>
    <row r="7" ht="18" customHeight="1" s="486">
      <c r="C7" s="529" t="n"/>
      <c r="D7" s="99" t="n"/>
      <c r="E7" s="529" t="n"/>
      <c r="F7" s="529" t="n"/>
      <c r="G7" s="529" t="n"/>
      <c r="H7" s="529" t="n"/>
      <c r="I7" s="529" t="n"/>
      <c r="J7" s="530" t="inlineStr">
        <is>
          <t>Project Address:</t>
        </is>
      </c>
      <c r="K7" s="99" t="n"/>
      <c r="L7" s="99" t="n"/>
      <c r="M7" s="99" t="n"/>
      <c r="N7" s="522">
        <f>#REF!</f>
        <v/>
      </c>
      <c r="P7" s="98" t="n"/>
      <c r="Q7" s="98" t="n"/>
    </row>
    <row r="8" ht="18" customHeight="1" s="486">
      <c r="D8" s="538" t="n"/>
      <c r="E8" s="538" t="n"/>
      <c r="F8" s="538" t="n"/>
      <c r="G8" s="538" t="n"/>
      <c r="H8" s="538" t="n"/>
      <c r="I8" s="538" t="n"/>
      <c r="J8" s="530" t="inlineStr">
        <is>
          <t>Contact:</t>
        </is>
      </c>
      <c r="K8" s="99" t="n"/>
      <c r="L8" s="99" t="n"/>
      <c r="M8" s="99" t="n"/>
      <c r="N8" s="522" t="inlineStr">
        <is>
          <t>Greg Muniz</t>
        </is>
      </c>
      <c r="P8" s="98" t="n"/>
      <c r="Q8" s="98" t="n"/>
    </row>
    <row r="9" ht="18" customHeight="1" s="486">
      <c r="C9" s="105" t="n"/>
      <c r="D9" s="538" t="n"/>
      <c r="E9" s="538" t="n"/>
      <c r="F9" s="538" t="n"/>
      <c r="G9" s="538" t="n"/>
      <c r="H9" s="538" t="n"/>
      <c r="I9" s="538" t="n"/>
      <c r="J9" s="531" t="inlineStr">
        <is>
          <t>Email:</t>
        </is>
      </c>
      <c r="N9" s="113" t="inlineStr">
        <is>
          <t>greg@glassflooringsystems.com</t>
        </is>
      </c>
      <c r="P9" s="98" t="n"/>
      <c r="Q9" s="98" t="n"/>
    </row>
    <row r="10" ht="18" customHeight="1" s="486">
      <c r="B10" s="98" t="n"/>
      <c r="C10" s="98" t="n"/>
      <c r="D10" s="106" t="n"/>
      <c r="E10" s="106" t="n"/>
      <c r="F10" s="106" t="n"/>
      <c r="G10" s="107" t="n"/>
      <c r="H10" s="107" t="n"/>
      <c r="I10" s="107" t="n"/>
      <c r="J10" s="107" t="n"/>
      <c r="K10" s="506" t="n"/>
      <c r="L10" s="506" t="n"/>
      <c r="M10" s="506" t="inlineStr">
        <is>
          <t>Claim #</t>
        </is>
      </c>
      <c r="N10" s="506" t="n"/>
    </row>
    <row r="11" ht="18" customHeight="1" s="486">
      <c r="B11" s="508" t="inlineStr">
        <is>
          <t xml:space="preserve">6 Aaron Way Sparta, NJ 07981  </t>
        </is>
      </c>
      <c r="C11" s="99" t="n"/>
      <c r="D11" s="99" t="n"/>
      <c r="E11" s="99" t="n"/>
      <c r="F11" s="99" t="n"/>
      <c r="G11" s="115" t="n"/>
      <c r="H11" s="115" t="n"/>
      <c r="I11" s="115" t="n"/>
      <c r="J11" s="115" t="n"/>
      <c r="K11" s="116" t="n"/>
      <c r="L11" s="522" t="n"/>
      <c r="M11" s="522" t="n"/>
      <c r="N11" s="522" t="n"/>
    </row>
    <row r="12" ht="18" customHeight="1" s="486">
      <c r="B12" s="508" t="inlineStr">
        <is>
          <t>862-701-5320</t>
        </is>
      </c>
      <c r="C12" s="501" t="n"/>
      <c r="D12" s="501" t="n"/>
      <c r="E12" s="501" t="n"/>
      <c r="F12" s="501" t="n"/>
      <c r="G12" s="115" t="n"/>
      <c r="H12" s="115" t="n"/>
      <c r="I12" s="115" t="n"/>
      <c r="J12" s="115" t="n"/>
      <c r="K12" s="116" t="n"/>
      <c r="L12" s="522" t="n"/>
      <c r="M12" s="522" t="n"/>
      <c r="N12" s="522" t="n"/>
    </row>
    <row r="13" ht="18" customHeight="1" s="486">
      <c r="B13" s="509" t="inlineStr">
        <is>
          <t>www.glassflooringsystems.com</t>
        </is>
      </c>
      <c r="C13" s="99" t="n"/>
      <c r="D13" s="99" t="n"/>
      <c r="E13" s="99" t="n"/>
      <c r="F13" s="99" t="n"/>
      <c r="G13" s="506" t="n"/>
      <c r="H13" s="506" t="n"/>
      <c r="I13" s="506" t="n"/>
      <c r="J13" s="506" t="n"/>
      <c r="K13" s="506" t="n"/>
      <c r="L13" s="506" t="n"/>
      <c r="M13" s="506" t="n"/>
      <c r="N13" s="506" t="n"/>
    </row>
    <row r="14" ht="19" customHeight="1" s="486" thickBot="1">
      <c r="B14" s="117" t="n"/>
      <c r="C14" s="118" t="n"/>
      <c r="D14" s="118" t="n"/>
      <c r="E14" s="118" t="n"/>
      <c r="F14" s="118" t="n"/>
      <c r="G14" s="118" t="n"/>
      <c r="H14" s="118" t="n"/>
      <c r="I14" s="118" t="n"/>
      <c r="J14" s="118" t="n"/>
      <c r="K14" s="118" t="n"/>
      <c r="L14" s="118" t="n"/>
      <c r="M14" s="118" t="n"/>
      <c r="N14" s="118" t="n"/>
    </row>
    <row r="15" ht="19" customHeight="1" s="486" thickTop="1">
      <c r="B15" s="119" t="n"/>
      <c r="C15" s="119" t="n"/>
      <c r="D15" s="119" t="n"/>
      <c r="E15" s="119" t="n"/>
      <c r="F15" s="119" t="n"/>
      <c r="G15" s="119" t="n"/>
      <c r="H15" s="119" t="n"/>
      <c r="I15" s="119" t="n"/>
      <c r="J15" s="119" t="n"/>
      <c r="K15" s="119" t="n"/>
      <c r="L15" s="119" t="n"/>
      <c r="M15" s="119" t="n"/>
      <c r="N15" s="119" t="n"/>
    </row>
    <row r="16" ht="18" customHeight="1" s="486">
      <c r="B16" s="506" t="n"/>
      <c r="C16" s="506" t="n"/>
      <c r="D16" s="506" t="n"/>
      <c r="E16" s="506" t="n"/>
      <c r="F16" s="506" t="n"/>
      <c r="G16" s="506" t="n"/>
      <c r="H16" s="506" t="n"/>
      <c r="I16" s="506" t="n"/>
      <c r="J16" s="506" t="n"/>
      <c r="K16" s="506" t="n"/>
      <c r="L16" s="506" t="n"/>
      <c r="M16" s="506" t="n"/>
      <c r="N16" s="506" t="n"/>
    </row>
    <row r="17" ht="18" customHeight="1" s="486">
      <c r="B17" s="501" t="n"/>
    </row>
    <row r="18" ht="23" customHeight="1" s="486">
      <c r="B18" s="532" t="inlineStr">
        <is>
          <t>Customer</t>
        </is>
      </c>
      <c r="C18" s="99" t="n"/>
      <c r="D18" s="99" t="n"/>
      <c r="E18" s="99" t="n"/>
      <c r="F18" s="99" t="n"/>
      <c r="G18" s="114" t="n"/>
      <c r="H18" s="114" t="n"/>
      <c r="I18" s="114" t="n"/>
      <c r="J18" s="114" t="n"/>
      <c r="K18" s="626" t="n"/>
      <c r="L18" s="99" t="n"/>
      <c r="M18" s="99" t="n"/>
      <c r="N18" s="99" t="n"/>
    </row>
    <row r="19" ht="18" customHeight="1" s="486">
      <c r="B19" s="523">
        <f>#REF!</f>
        <v/>
      </c>
      <c r="C19" s="99" t="n"/>
      <c r="D19" s="99" t="n"/>
      <c r="E19" s="99" t="n"/>
      <c r="F19" s="498" t="n"/>
      <c r="G19" s="498" t="n"/>
      <c r="H19" s="498" t="n"/>
      <c r="I19" s="498" t="n"/>
      <c r="J19" s="498" t="n"/>
      <c r="K19" s="525" t="n"/>
      <c r="P19" s="108" t="n"/>
      <c r="Q19" s="109" t="n"/>
      <c r="R19" s="108" t="n"/>
    </row>
    <row r="20" ht="18" customHeight="1" s="486">
      <c r="B20" s="522">
        <f>#REF!</f>
        <v/>
      </c>
      <c r="C20" s="99" t="n"/>
      <c r="D20" s="99" t="n"/>
      <c r="E20" s="99" t="n"/>
      <c r="F20" s="498" t="n"/>
      <c r="G20" s="498" t="n"/>
      <c r="H20" s="498" t="n"/>
      <c r="I20" s="498" t="n"/>
      <c r="J20" s="498" t="n"/>
      <c r="K20" s="525" t="n"/>
      <c r="P20" s="108" t="n"/>
      <c r="Q20" s="109" t="n"/>
      <c r="R20" s="108" t="n"/>
    </row>
    <row r="21" ht="18" customHeight="1" s="486">
      <c r="B21" s="523" t="inlineStr">
        <is>
          <t xml:space="preserve">Attn: </t>
        </is>
      </c>
      <c r="C21" s="524">
        <f>#REF!</f>
        <v/>
      </c>
      <c r="F21" s="498" t="n"/>
      <c r="G21" s="498" t="n"/>
      <c r="H21" s="498" t="n"/>
      <c r="I21" s="498" t="n"/>
      <c r="J21" s="498" t="n"/>
      <c r="K21" s="525" t="n"/>
      <c r="P21" s="108" t="n"/>
      <c r="Q21" s="109" t="n"/>
      <c r="R21" s="108" t="n"/>
    </row>
    <row r="22" ht="18" customHeight="1" s="486">
      <c r="B22" s="523" t="n"/>
      <c r="C22" s="99" t="n"/>
      <c r="D22" s="99" t="n"/>
      <c r="E22" s="99" t="n"/>
      <c r="F22" s="498" t="n"/>
      <c r="G22" s="498" t="n"/>
      <c r="H22" s="498" t="n"/>
      <c r="I22" s="498" t="n"/>
      <c r="J22" s="498" t="n"/>
      <c r="K22" s="525" t="n"/>
      <c r="P22" s="108" t="n"/>
      <c r="Q22" s="109" t="n"/>
      <c r="R22" s="108" t="n"/>
    </row>
    <row r="23" ht="18" customHeight="1" s="486">
      <c r="B23" s="523" t="n"/>
      <c r="C23" s="498" t="n"/>
      <c r="D23" s="498" t="n"/>
      <c r="E23" s="498" t="n"/>
      <c r="F23" s="498" t="n"/>
      <c r="G23" s="498" t="n"/>
      <c r="H23" s="498" t="n"/>
      <c r="I23" s="498" t="n"/>
      <c r="J23" s="498" t="n"/>
      <c r="K23" s="525" t="n"/>
      <c r="L23" s="525" t="n"/>
      <c r="M23" s="525" t="n"/>
      <c r="N23" s="525" t="n"/>
      <c r="P23" s="108" t="n"/>
      <c r="Q23" s="109" t="n"/>
      <c r="R23" s="108" t="n"/>
    </row>
    <row r="24" ht="18" customHeight="1" s="486">
      <c r="B24" s="500" t="n"/>
      <c r="C24" s="500" t="n"/>
      <c r="D24" s="500" t="n"/>
      <c r="E24" s="500" t="n"/>
      <c r="F24" s="500" t="n"/>
      <c r="G24" s="500" t="n"/>
      <c r="H24" s="500" t="n"/>
      <c r="I24" s="500" t="n"/>
      <c r="J24" s="500" t="n"/>
      <c r="K24" s="500" t="n"/>
      <c r="L24" s="500" t="n"/>
      <c r="M24" s="500" t="n"/>
      <c r="N24" s="506" t="n"/>
    </row>
    <row r="25" ht="18" customFormat="1" customHeight="1" s="104">
      <c r="B25" s="527" t="inlineStr">
        <is>
          <t>Qty</t>
        </is>
      </c>
      <c r="C25" s="627" t="n"/>
      <c r="D25" s="527" t="inlineStr">
        <is>
          <t>Description</t>
        </is>
      </c>
      <c r="E25" s="628" t="n"/>
      <c r="F25" s="628" t="n"/>
      <c r="G25" s="628" t="n"/>
      <c r="H25" s="628" t="n"/>
      <c r="I25" s="628" t="n"/>
      <c r="J25" s="627" t="n"/>
      <c r="K25" s="527" t="inlineStr">
        <is>
          <t>Price</t>
        </is>
      </c>
      <c r="L25" s="628" t="n"/>
      <c r="M25" s="627" t="n"/>
      <c r="N25" s="147" t="inlineStr">
        <is>
          <t>Amount</t>
        </is>
      </c>
    </row>
    <row r="26" ht="21" customHeight="1" s="486">
      <c r="B26" s="515" t="n"/>
      <c r="C26" s="627" t="n"/>
      <c r="D26" s="519" t="n"/>
      <c r="E26" s="432" t="n"/>
      <c r="F26" s="432" t="n"/>
      <c r="G26" s="432" t="n"/>
      <c r="H26" s="432" t="n"/>
      <c r="I26" s="432" t="n"/>
      <c r="J26" s="433" t="n"/>
      <c r="K26" s="629" t="n">
        <v>0</v>
      </c>
      <c r="L26" s="432" t="n"/>
      <c r="M26" s="433" t="n"/>
      <c r="N26" s="630">
        <f>B26*K26</f>
        <v/>
      </c>
    </row>
    <row r="27" ht="21" customHeight="1" s="486">
      <c r="B27" s="515" t="n"/>
      <c r="C27" s="627" t="n"/>
      <c r="D27" s="519" t="n"/>
      <c r="E27" s="432" t="n"/>
      <c r="F27" s="432" t="n"/>
      <c r="G27" s="432" t="n"/>
      <c r="H27" s="432" t="n"/>
      <c r="I27" s="432" t="n"/>
      <c r="J27" s="433" t="n"/>
      <c r="K27" s="629" t="n">
        <v>0</v>
      </c>
      <c r="L27" s="432" t="n"/>
      <c r="M27" s="433" t="n"/>
      <c r="N27" s="630">
        <f>B27*K27</f>
        <v/>
      </c>
    </row>
    <row r="28" ht="18" customHeight="1" s="486">
      <c r="B28" s="515" t="n"/>
      <c r="C28" s="627" t="n"/>
      <c r="D28" s="519" t="n"/>
      <c r="E28" s="432" t="n"/>
      <c r="F28" s="432" t="n"/>
      <c r="G28" s="432" t="n"/>
      <c r="H28" s="432" t="n"/>
      <c r="I28" s="432" t="n"/>
      <c r="J28" s="433" t="n"/>
      <c r="K28" s="629" t="n">
        <v>0</v>
      </c>
      <c r="L28" s="432" t="n"/>
      <c r="M28" s="433" t="n"/>
      <c r="N28" s="630">
        <f>B28*K28</f>
        <v/>
      </c>
    </row>
    <row r="29" ht="18" customHeight="1" s="486">
      <c r="B29" s="515" t="n"/>
      <c r="C29" s="627" t="n"/>
      <c r="D29" s="519" t="n"/>
      <c r="E29" s="432" t="n"/>
      <c r="F29" s="432" t="n"/>
      <c r="G29" s="432" t="n"/>
      <c r="H29" s="432" t="n"/>
      <c r="I29" s="432" t="n"/>
      <c r="J29" s="433" t="n"/>
      <c r="K29" s="629" t="n">
        <v>0</v>
      </c>
      <c r="L29" s="432" t="n"/>
      <c r="M29" s="433" t="n"/>
      <c r="N29" s="630">
        <f>B29*K29</f>
        <v/>
      </c>
    </row>
    <row r="30" ht="18" customHeight="1" s="486">
      <c r="B30" s="515" t="n"/>
      <c r="C30" s="627" t="n"/>
      <c r="D30" s="519" t="n"/>
      <c r="E30" s="432" t="n"/>
      <c r="F30" s="432" t="n"/>
      <c r="G30" s="432" t="n"/>
      <c r="H30" s="432" t="n"/>
      <c r="I30" s="432" t="n"/>
      <c r="J30" s="433" t="n"/>
      <c r="K30" s="629" t="n">
        <v>0</v>
      </c>
      <c r="L30" s="432" t="n"/>
      <c r="M30" s="433" t="n"/>
      <c r="N30" s="630">
        <f>B30*K30</f>
        <v/>
      </c>
    </row>
    <row r="31" ht="18" customHeight="1" s="486">
      <c r="B31" s="515" t="n"/>
      <c r="C31" s="627" t="n"/>
      <c r="D31" s="519" t="n"/>
      <c r="E31" s="432" t="n"/>
      <c r="F31" s="432" t="n"/>
      <c r="G31" s="432" t="n"/>
      <c r="H31" s="432" t="n"/>
      <c r="I31" s="432" t="n"/>
      <c r="J31" s="433" t="n"/>
      <c r="K31" s="629" t="n">
        <v>0</v>
      </c>
      <c r="L31" s="432" t="n"/>
      <c r="M31" s="433" t="n"/>
      <c r="N31" s="630">
        <f>B31*K31</f>
        <v/>
      </c>
    </row>
    <row r="32" ht="18" customHeight="1" s="486">
      <c r="B32" s="515" t="n"/>
      <c r="C32" s="627" t="n"/>
      <c r="D32" s="519" t="n"/>
      <c r="E32" s="432" t="n"/>
      <c r="F32" s="432" t="n"/>
      <c r="G32" s="432" t="n"/>
      <c r="H32" s="432" t="n"/>
      <c r="I32" s="432" t="n"/>
      <c r="J32" s="433" t="n"/>
      <c r="K32" s="629" t="n">
        <v>0</v>
      </c>
      <c r="L32" s="432" t="n"/>
      <c r="M32" s="433" t="n"/>
      <c r="N32" s="630">
        <f>B32*K32</f>
        <v/>
      </c>
    </row>
    <row r="33" ht="18" customHeight="1" s="486">
      <c r="B33" s="515" t="n"/>
      <c r="C33" s="627" t="n"/>
      <c r="D33" s="519" t="n"/>
      <c r="E33" s="432" t="n"/>
      <c r="F33" s="432" t="n"/>
      <c r="G33" s="432" t="n"/>
      <c r="H33" s="432" t="n"/>
      <c r="I33" s="432" t="n"/>
      <c r="J33" s="433" t="n"/>
      <c r="K33" s="629" t="n">
        <v>0</v>
      </c>
      <c r="L33" s="432" t="n"/>
      <c r="M33" s="433" t="n"/>
      <c r="N33" s="630">
        <f>B33*K33</f>
        <v/>
      </c>
    </row>
    <row r="34" ht="18" customHeight="1" s="486">
      <c r="B34" s="515" t="n"/>
      <c r="C34" s="627" t="n"/>
      <c r="D34" s="519" t="n"/>
      <c r="E34" s="432" t="n"/>
      <c r="F34" s="432" t="n"/>
      <c r="G34" s="432" t="n"/>
      <c r="H34" s="432" t="n"/>
      <c r="I34" s="432" t="n"/>
      <c r="J34" s="433" t="n"/>
      <c r="K34" s="629" t="n">
        <v>0</v>
      </c>
      <c r="L34" s="432" t="n"/>
      <c r="M34" s="433" t="n"/>
      <c r="N34" s="630">
        <f>B34*K34</f>
        <v/>
      </c>
    </row>
    <row r="35" ht="18" customHeight="1" s="486">
      <c r="B35" s="515" t="n"/>
      <c r="C35" s="627" t="n"/>
      <c r="D35" s="519" t="n"/>
      <c r="E35" s="432" t="n"/>
      <c r="F35" s="432" t="n"/>
      <c r="G35" s="432" t="n"/>
      <c r="H35" s="432" t="n"/>
      <c r="I35" s="432" t="n"/>
      <c r="J35" s="433" t="n"/>
      <c r="K35" s="629" t="n">
        <v>0</v>
      </c>
      <c r="L35" s="432" t="n"/>
      <c r="M35" s="433" t="n"/>
      <c r="N35" s="630">
        <f>B35*K35</f>
        <v/>
      </c>
    </row>
    <row r="36" ht="18" customHeight="1" s="486">
      <c r="B36" s="515" t="n"/>
      <c r="C36" s="627" t="n"/>
      <c r="D36" s="519" t="n"/>
      <c r="E36" s="432" t="n"/>
      <c r="F36" s="432" t="n"/>
      <c r="G36" s="432" t="n"/>
      <c r="H36" s="432" t="n"/>
      <c r="I36" s="432" t="n"/>
      <c r="J36" s="433" t="n"/>
      <c r="K36" s="629" t="n">
        <v>0</v>
      </c>
      <c r="L36" s="432" t="n"/>
      <c r="M36" s="433" t="n"/>
      <c r="N36" s="630">
        <f>B36*K36</f>
        <v/>
      </c>
    </row>
    <row r="37" ht="18" customHeight="1" s="486">
      <c r="B37" s="516" t="inlineStr">
        <is>
          <t>Note: This change order becomes part of and in conformance with the existing contract</t>
        </is>
      </c>
      <c r="C37" s="628" t="n"/>
      <c r="D37" s="628" t="n"/>
      <c r="E37" s="628" t="n"/>
      <c r="F37" s="628" t="n"/>
      <c r="G37" s="628" t="n"/>
      <c r="H37" s="628" t="n"/>
      <c r="I37" s="628" t="n"/>
      <c r="J37" s="628" t="n"/>
      <c r="K37" s="628" t="n"/>
      <c r="L37" s="628" t="n"/>
      <c r="M37" s="628" t="n"/>
      <c r="N37" s="628" t="n"/>
    </row>
    <row r="38" ht="18" customHeight="1" s="486">
      <c r="B38" s="500" t="n"/>
      <c r="C38" s="125" t="n"/>
      <c r="D38" s="501" t="n"/>
      <c r="E38" s="501" t="n"/>
      <c r="F38" s="501" t="n"/>
      <c r="G38" s="501" t="n"/>
      <c r="H38" s="501" t="n"/>
      <c r="I38" s="501" t="n"/>
      <c r="J38" s="501" t="n"/>
      <c r="K38" s="501" t="n"/>
      <c r="L38" s="501" t="n"/>
      <c r="M38" s="501" t="n"/>
      <c r="N38" s="501" t="n"/>
    </row>
    <row r="39" ht="18" customHeight="1" s="486">
      <c r="B39" s="500" t="n"/>
      <c r="C39" s="125" t="n"/>
      <c r="D39" s="501" t="n"/>
      <c r="E39" s="511" t="inlineStr">
        <is>
          <t>We agree to the changes specified above at this price</t>
        </is>
      </c>
      <c r="N39" s="631">
        <f>SUM(N26:N36)</f>
        <v/>
      </c>
    </row>
    <row r="40" ht="18" customHeight="1" s="486">
      <c r="B40" s="500" t="n"/>
      <c r="C40" s="125" t="n"/>
      <c r="D40" s="501" t="n"/>
      <c r="E40" s="511" t="inlineStr">
        <is>
          <t>Previous contract amount</t>
        </is>
      </c>
      <c r="N40" s="631">
        <f>Proposal!#REF!</f>
        <v/>
      </c>
    </row>
    <row r="41" ht="18" customHeight="1" s="486">
      <c r="B41" s="500" t="n"/>
      <c r="C41" s="125" t="n"/>
      <c r="D41" s="501" t="n"/>
      <c r="E41" s="511" t="inlineStr">
        <is>
          <t>Revised contract price</t>
        </is>
      </c>
      <c r="N41" s="631">
        <f>N40+N39</f>
        <v/>
      </c>
    </row>
    <row r="42" ht="18" customHeight="1" s="486">
      <c r="B42" s="500" t="n"/>
      <c r="C42" s="125" t="n"/>
      <c r="D42" s="501" t="n"/>
      <c r="E42" s="501" t="n"/>
      <c r="F42" s="501" t="n"/>
      <c r="G42" s="501" t="n"/>
      <c r="H42" s="501" t="n"/>
      <c r="I42" s="501" t="n"/>
      <c r="J42" s="501" t="n"/>
      <c r="K42" s="501" t="n"/>
      <c r="L42" s="501" t="n"/>
      <c r="M42" s="501" t="n"/>
      <c r="N42" s="501" t="n"/>
    </row>
    <row r="43" ht="18" customHeight="1" s="486">
      <c r="B43" s="500" t="n"/>
      <c r="C43" s="500" t="n"/>
      <c r="D43" s="501" t="n"/>
      <c r="E43" s="501" t="n"/>
      <c r="F43" s="501" t="n"/>
      <c r="G43" s="501" t="n"/>
      <c r="H43" s="501" t="n"/>
      <c r="I43" s="501" t="n"/>
      <c r="J43" s="501" t="n"/>
      <c r="K43" s="501" t="n"/>
      <c r="L43" s="501" t="n"/>
      <c r="M43" s="501" t="n"/>
      <c r="N43" s="501" t="n"/>
    </row>
    <row r="44" ht="18" customHeight="1" s="486">
      <c r="B44" s="500" t="n"/>
      <c r="C44" s="499" t="n"/>
      <c r="D44" s="99" t="n"/>
      <c r="E44" s="99" t="n"/>
      <c r="F44" s="99" t="n"/>
      <c r="G44" s="99" t="n"/>
      <c r="H44" s="99" t="n"/>
      <c r="I44" s="99" t="n"/>
      <c r="J44" s="99" t="n"/>
      <c r="K44" s="99" t="n"/>
      <c r="L44" s="99" t="n"/>
      <c r="M44" s="99" t="n"/>
      <c r="N44" s="99" t="n"/>
    </row>
    <row r="45" ht="18" customHeight="1" s="486">
      <c r="B45" s="500" t="n"/>
      <c r="C45" s="499" t="n"/>
      <c r="D45" s="121" t="n"/>
      <c r="E45" s="121" t="n"/>
      <c r="F45" s="121" t="n"/>
      <c r="G45" s="121" t="n"/>
      <c r="H45" s="121" t="n"/>
      <c r="I45" s="121" t="n"/>
      <c r="J45" s="121" t="n"/>
      <c r="K45" s="121" t="n"/>
      <c r="L45" s="121" t="n"/>
      <c r="M45" s="500" t="n"/>
      <c r="N45" s="506" t="n"/>
    </row>
    <row r="46" ht="18" customHeight="1" s="486">
      <c r="B46" s="500" t="n"/>
      <c r="C46" s="99" t="n"/>
      <c r="D46" s="99" t="n"/>
      <c r="E46" s="99" t="n"/>
      <c r="F46" s="99" t="n"/>
      <c r="G46" s="99" t="n"/>
      <c r="H46" s="99" t="n"/>
      <c r="I46" s="99" t="n"/>
      <c r="J46" s="99" t="n"/>
      <c r="K46" s="99" t="n"/>
      <c r="L46" s="99" t="n"/>
      <c r="M46" s="99" t="n"/>
      <c r="N46" s="506" t="n"/>
    </row>
    <row r="47" ht="18" customHeight="1" s="486">
      <c r="B47" s="499" t="n"/>
      <c r="C47" s="121" t="n"/>
      <c r="D47" s="121" t="n"/>
      <c r="E47" s="121" t="n"/>
      <c r="F47" s="121" t="n"/>
      <c r="G47" s="121" t="n"/>
      <c r="H47" s="121" t="n"/>
      <c r="I47" s="121" t="n"/>
      <c r="J47" s="121" t="n"/>
      <c r="K47" s="121" t="n"/>
      <c r="L47" s="500" t="n"/>
      <c r="M47" s="506" t="n"/>
      <c r="N47" s="506" t="n"/>
    </row>
    <row r="48" ht="18" customHeight="1" s="486">
      <c r="B48" s="513" t="inlineStr">
        <is>
          <t>Accepted - The above prices and specifications of this change order are satisfactory and are hereby accepted. All work to be performed under same terms and conditions as specified in original contract unless otherwise stipulated.</t>
        </is>
      </c>
      <c r="C48" s="99" t="n"/>
      <c r="D48" s="99" t="n"/>
      <c r="E48" s="99" t="n"/>
      <c r="F48" s="99" t="n"/>
      <c r="G48" s="99" t="n"/>
      <c r="H48" s="99" t="n"/>
      <c r="I48" s="99" t="n"/>
      <c r="J48" s="99" t="n"/>
      <c r="K48" s="121" t="n"/>
      <c r="L48" s="500" t="n"/>
      <c r="M48" s="506" t="n"/>
      <c r="N48" s="506" t="n"/>
    </row>
    <row r="49" ht="18" customHeight="1" s="486">
      <c r="B49" s="99" t="n"/>
      <c r="C49" s="99" t="n"/>
      <c r="D49" s="99" t="n"/>
      <c r="E49" s="99" t="n"/>
      <c r="F49" s="99" t="n"/>
      <c r="G49" s="99" t="n"/>
      <c r="H49" s="99" t="n"/>
      <c r="I49" s="99" t="n"/>
      <c r="J49" s="99" t="n"/>
      <c r="K49" s="121" t="n"/>
      <c r="L49" s="500" t="n"/>
      <c r="M49" s="506" t="n"/>
      <c r="N49" s="506" t="n"/>
    </row>
    <row r="50" ht="18" customHeight="1" s="486">
      <c r="B50" s="99" t="n"/>
      <c r="C50" s="99" t="n"/>
      <c r="D50" s="99" t="n"/>
      <c r="E50" s="99" t="n"/>
      <c r="F50" s="99" t="n"/>
      <c r="G50" s="99" t="n"/>
      <c r="H50" s="99" t="n"/>
      <c r="I50" s="99" t="n"/>
      <c r="J50" s="99" t="n"/>
      <c r="K50" s="121" t="n"/>
      <c r="L50" s="121" t="n"/>
      <c r="M50" s="500" t="n"/>
      <c r="N50" s="506" t="n"/>
    </row>
    <row r="51" ht="18" customHeight="1" s="486">
      <c r="B51" s="99" t="n"/>
      <c r="C51" s="99" t="n"/>
      <c r="D51" s="99" t="n"/>
      <c r="E51" s="99" t="n"/>
      <c r="F51" s="99" t="n"/>
      <c r="G51" s="99" t="n"/>
      <c r="H51" s="99" t="n"/>
      <c r="I51" s="99" t="n"/>
      <c r="J51" s="99" t="n"/>
      <c r="K51" s="121" t="n"/>
      <c r="L51" s="121" t="n"/>
      <c r="M51" s="500" t="n"/>
      <c r="N51" s="506" t="n"/>
    </row>
    <row r="52" ht="18" customHeight="1" s="486">
      <c r="B52" s="99" t="n"/>
      <c r="C52" s="99" t="n"/>
      <c r="D52" s="99" t="n"/>
      <c r="E52" s="99" t="n"/>
      <c r="F52" s="99" t="n"/>
      <c r="G52" s="99" t="n"/>
      <c r="H52" s="99" t="n"/>
      <c r="I52" s="99" t="n"/>
      <c r="J52" s="99" t="n"/>
      <c r="K52" s="121" t="n"/>
      <c r="L52" s="121" t="n"/>
      <c r="M52" s="500" t="n"/>
      <c r="N52" s="506" t="n"/>
    </row>
    <row r="53" ht="18" customHeight="1" s="486">
      <c r="B53" s="99" t="n"/>
      <c r="C53" s="99" t="n"/>
      <c r="D53" s="99" t="n"/>
      <c r="E53" s="99" t="n"/>
      <c r="F53" s="99" t="n"/>
      <c r="G53" s="99" t="n"/>
      <c r="H53" s="99" t="n"/>
      <c r="I53" s="99" t="n"/>
      <c r="J53" s="99" t="n"/>
      <c r="K53" s="121" t="n"/>
      <c r="L53" s="121" t="n"/>
      <c r="M53" s="500" t="n"/>
      <c r="N53" s="506" t="n"/>
    </row>
    <row r="54" ht="18" customHeight="1" s="486">
      <c r="B54" s="500" t="n"/>
      <c r="C54" s="499" t="n"/>
      <c r="D54" s="121" t="n"/>
      <c r="E54" s="121" t="n"/>
      <c r="F54" s="121" t="n"/>
      <c r="G54" s="121" t="n"/>
      <c r="H54" s="121" t="n"/>
      <c r="I54" s="121" t="n"/>
      <c r="J54" s="121" t="n"/>
      <c r="K54" s="121" t="n"/>
      <c r="L54" s="121" t="n"/>
      <c r="M54" s="500" t="n"/>
      <c r="N54" s="506" t="n"/>
    </row>
    <row r="55" ht="18" customHeight="1" s="486">
      <c r="B55" s="500" t="inlineStr">
        <is>
          <t xml:space="preserve">Signature - </t>
        </is>
      </c>
      <c r="C55" s="499" t="n"/>
      <c r="D55" s="148" t="n"/>
      <c r="E55" s="148" t="n"/>
      <c r="F55" s="148" t="n"/>
      <c r="G55" s="148" t="n"/>
      <c r="H55" s="148" t="n"/>
      <c r="I55" s="148" t="n"/>
      <c r="J55" s="148" t="n"/>
      <c r="K55" s="121" t="n"/>
      <c r="L55" s="121" t="n"/>
      <c r="M55" s="500" t="n"/>
      <c r="N55" s="506" t="n"/>
    </row>
    <row r="56" ht="18" customHeight="1" s="486">
      <c r="B56" s="500" t="n"/>
      <c r="C56" s="499" t="n"/>
      <c r="D56" s="121" t="n"/>
      <c r="E56" s="121" t="n"/>
      <c r="F56" s="121" t="n"/>
      <c r="G56" s="121" t="n"/>
      <c r="H56" s="121" t="n"/>
      <c r="I56" s="121" t="n"/>
      <c r="J56" s="121" t="n"/>
      <c r="K56" s="121" t="n"/>
      <c r="L56" s="121" t="n"/>
      <c r="M56" s="500" t="n"/>
      <c r="N56" s="506" t="n"/>
    </row>
    <row r="57" ht="18" customHeight="1" s="486">
      <c r="B57" s="500" t="inlineStr">
        <is>
          <t xml:space="preserve">Date of acceptance - </t>
        </is>
      </c>
      <c r="C57" s="499" t="n"/>
      <c r="D57" s="121" t="n"/>
      <c r="E57" s="148" t="n"/>
      <c r="F57" s="148" t="n"/>
      <c r="G57" s="148" t="n"/>
      <c r="H57" s="148" t="n"/>
      <c r="I57" s="148" t="n"/>
      <c r="J57" s="148" t="n"/>
      <c r="K57" s="121" t="n"/>
      <c r="L57" s="121" t="n"/>
      <c r="M57" s="500" t="n"/>
      <c r="N57" s="506" t="n"/>
    </row>
    <row r="58" ht="18" customHeight="1" s="486">
      <c r="B58" s="500" t="n"/>
      <c r="C58" s="499" t="n"/>
      <c r="D58" s="121" t="n"/>
      <c r="E58" s="121" t="n"/>
      <c r="F58" s="121" t="n"/>
      <c r="G58" s="121" t="n"/>
      <c r="H58" s="121" t="n"/>
      <c r="I58" s="121" t="n"/>
      <c r="J58" s="121" t="n"/>
      <c r="K58" s="121" t="n"/>
      <c r="L58" s="121" t="n"/>
      <c r="M58" s="500" t="n"/>
      <c r="N58" s="506" t="n"/>
    </row>
    <row r="59" ht="18" customHeight="1" s="486">
      <c r="B59" s="500" t="n"/>
      <c r="C59" s="499" t="n"/>
      <c r="D59" s="121" t="n"/>
      <c r="E59" s="121" t="n"/>
      <c r="F59" s="121" t="n"/>
      <c r="G59" s="121" t="n"/>
      <c r="H59" s="121" t="n"/>
      <c r="I59" s="121" t="n"/>
      <c r="J59" s="121" t="n"/>
      <c r="K59" s="121" t="n"/>
      <c r="L59" s="121" t="n"/>
      <c r="M59" s="500" t="n"/>
      <c r="N59" s="506" t="n"/>
    </row>
    <row r="60" ht="18" customHeight="1" s="486">
      <c r="B60" s="506" t="n"/>
      <c r="C60" s="506" t="n"/>
      <c r="D60" s="506" t="n"/>
      <c r="E60" s="506" t="n"/>
      <c r="F60" s="506" t="n"/>
      <c r="G60" s="506" t="n"/>
      <c r="H60" s="506" t="n"/>
      <c r="I60" s="506" t="n"/>
      <c r="J60" s="506" t="n"/>
      <c r="K60" s="506" t="n"/>
      <c r="L60" s="506" t="n"/>
      <c r="M60" s="506" t="n"/>
      <c r="N60" s="506" t="n"/>
    </row>
    <row r="61" ht="18" customHeight="1" s="486">
      <c r="B61" s="506" t="n"/>
      <c r="C61" s="506" t="n"/>
      <c r="D61" s="506" t="n"/>
      <c r="E61" s="506" t="n"/>
      <c r="F61" s="506" t="n"/>
      <c r="G61" s="506" t="n"/>
      <c r="H61" s="506" t="n"/>
      <c r="I61" s="506" t="n"/>
      <c r="J61" s="506" t="n"/>
      <c r="K61" s="506" t="n"/>
      <c r="L61" s="506" t="n"/>
      <c r="M61" s="506" t="n"/>
      <c r="N61" s="506" t="n"/>
    </row>
    <row r="62" ht="18" customHeight="1" s="486">
      <c r="B62" s="506" t="n"/>
      <c r="C62" s="506" t="n"/>
      <c r="D62" s="506" t="n"/>
      <c r="E62" s="506" t="n"/>
      <c r="F62" s="506" t="n"/>
      <c r="G62" s="506" t="n"/>
      <c r="H62" s="506" t="n"/>
      <c r="I62" s="506" t="n"/>
      <c r="J62" s="506" t="n"/>
      <c r="K62" s="506" t="n"/>
      <c r="L62" s="506" t="n"/>
      <c r="M62" s="506" t="n"/>
      <c r="N62" s="506" t="n"/>
    </row>
    <row r="63" ht="18" customHeight="1" s="486">
      <c r="B63" s="506" t="n"/>
      <c r="C63" s="506" t="n"/>
      <c r="D63" s="506" t="n"/>
      <c r="E63" s="506" t="n"/>
      <c r="F63" s="506" t="n"/>
      <c r="G63" s="506" t="n"/>
      <c r="H63" s="506" t="n"/>
      <c r="I63" s="506" t="n"/>
      <c r="J63" s="506" t="n"/>
      <c r="K63" s="506" t="n"/>
      <c r="L63" s="506" t="n"/>
      <c r="M63" s="506" t="n"/>
      <c r="N63" s="506" t="n"/>
    </row>
    <row r="64" ht="18" customHeight="1" s="486">
      <c r="B64" s="506" t="n"/>
      <c r="C64" s="506" t="n"/>
      <c r="D64" s="506" t="n"/>
      <c r="E64" s="506" t="n"/>
      <c r="F64" s="506" t="n"/>
      <c r="G64" s="506" t="n"/>
      <c r="H64" s="506" t="n"/>
      <c r="I64" s="506" t="n"/>
      <c r="J64" s="506" t="n"/>
      <c r="K64" s="506" t="n"/>
      <c r="L64" s="506" t="n"/>
      <c r="M64" s="506" t="n"/>
      <c r="N64" s="506" t="n"/>
    </row>
    <row r="65" ht="19" customHeight="1" s="486">
      <c r="B65" s="492" t="n"/>
    </row>
    <row r="66" ht="16" customHeight="1" s="486">
      <c r="B66" s="521" t="n"/>
    </row>
    <row r="67" ht="14" customHeight="1" s="486">
      <c r="B67" s="521" t="n"/>
    </row>
  </sheetData>
  <mergeCells count="70">
    <mergeCell ref="D28:J28"/>
    <mergeCell ref="B37:N37"/>
    <mergeCell ref="C6:D6"/>
    <mergeCell ref="K32:M32"/>
    <mergeCell ref="B25:C25"/>
    <mergeCell ref="B65:N65"/>
    <mergeCell ref="C5:D5"/>
    <mergeCell ref="K31:M31"/>
    <mergeCell ref="D25:J25"/>
    <mergeCell ref="C44:N44"/>
    <mergeCell ref="E40:M40"/>
    <mergeCell ref="D30:J30"/>
    <mergeCell ref="B31:C31"/>
    <mergeCell ref="B20:E20"/>
    <mergeCell ref="B27:C27"/>
    <mergeCell ref="D33:J33"/>
    <mergeCell ref="C21:E21"/>
    <mergeCell ref="D29:J29"/>
    <mergeCell ref="B18:F18"/>
    <mergeCell ref="K19:N19"/>
    <mergeCell ref="K18:N18"/>
    <mergeCell ref="D26:J26"/>
    <mergeCell ref="K27:M27"/>
    <mergeCell ref="J8:M8"/>
    <mergeCell ref="D35:J35"/>
    <mergeCell ref="B11:F11"/>
    <mergeCell ref="C3:L3"/>
    <mergeCell ref="D34:J34"/>
    <mergeCell ref="J5:M5"/>
    <mergeCell ref="B22:E22"/>
    <mergeCell ref="B13:F13"/>
    <mergeCell ref="D31:J31"/>
    <mergeCell ref="B66:N66"/>
    <mergeCell ref="E41:M41"/>
    <mergeCell ref="D36:J36"/>
    <mergeCell ref="K28:M28"/>
    <mergeCell ref="B29:C29"/>
    <mergeCell ref="K21:N21"/>
    <mergeCell ref="J9:M9"/>
    <mergeCell ref="B34:C34"/>
    <mergeCell ref="B28:C28"/>
    <mergeCell ref="K20:N20"/>
    <mergeCell ref="J6:M6"/>
    <mergeCell ref="K34:M34"/>
    <mergeCell ref="B2:N2"/>
    <mergeCell ref="K30:M30"/>
    <mergeCell ref="B48:J53"/>
    <mergeCell ref="D27:J27"/>
    <mergeCell ref="K25:M25"/>
    <mergeCell ref="K33:M33"/>
    <mergeCell ref="B35:C35"/>
    <mergeCell ref="D32:J32"/>
    <mergeCell ref="B30:C30"/>
    <mergeCell ref="B67:N67"/>
    <mergeCell ref="K22:N22"/>
    <mergeCell ref="C7:D7"/>
    <mergeCell ref="B33:C33"/>
    <mergeCell ref="B26:C26"/>
    <mergeCell ref="K36:M36"/>
    <mergeCell ref="B46:M46"/>
    <mergeCell ref="B17:N17"/>
    <mergeCell ref="J4:M4"/>
    <mergeCell ref="B36:C36"/>
    <mergeCell ref="K35:M35"/>
    <mergeCell ref="E39:M39"/>
    <mergeCell ref="B32:C32"/>
    <mergeCell ref="K26:M26"/>
    <mergeCell ref="B19:E19"/>
    <mergeCell ref="J7:M7"/>
    <mergeCell ref="K29:M29"/>
  </mergeCells>
  <hyperlinks>
    <hyperlink xmlns:r="http://schemas.openxmlformats.org/officeDocument/2006/relationships" ref="N9" r:id="rId1"/>
    <hyperlink xmlns:r="http://schemas.openxmlformats.org/officeDocument/2006/relationships" ref="B13" r:id="rId2"/>
  </hyperlinks>
  <pageMargins left="0.7" right="0.7" top="0.75" bottom="0.75" header="0.3" footer="0.3"/>
  <pageSetup orientation="portrait" horizontalDpi="0" verticalDpi="0"/>
  <drawing xmlns:r="http://schemas.openxmlformats.org/officeDocument/2006/relationships" r:id="rId3"/>
</worksheet>
</file>

<file path=xl/worksheets/sheet8.xml><?xml version="1.0" encoding="utf-8"?>
<worksheet xmlns="http://schemas.openxmlformats.org/spreadsheetml/2006/main">
  <sheetPr>
    <outlinePr summaryBelow="1" summaryRight="1"/>
    <pageSetUpPr/>
  </sheetPr>
  <dimension ref="A2:U63"/>
  <sheetViews>
    <sheetView topLeftCell="A16" zoomScale="125" zoomScaleNormal="125" zoomScalePageLayoutView="125" workbookViewId="0">
      <selection activeCell="A24" sqref="A24:M24"/>
    </sheetView>
  </sheetViews>
  <sheetFormatPr baseColWidth="10" defaultColWidth="9.1640625" defaultRowHeight="13"/>
  <cols>
    <col width="4" customWidth="1" style="99" min="1" max="1"/>
    <col width="9.1640625" customWidth="1" style="100" min="2" max="2"/>
    <col width="11.33203125" bestFit="1" customWidth="1" style="100" min="3" max="3"/>
    <col width="16.1640625" customWidth="1" style="100" min="4" max="4"/>
    <col width="7.83203125" customWidth="1" style="100" min="5" max="5"/>
    <col width="4.6640625" customWidth="1" style="100" min="6" max="8"/>
    <col width="18.83203125" customWidth="1" style="100" min="9" max="9"/>
    <col width="7.83203125" customWidth="1" style="100" min="10" max="10"/>
    <col hidden="1" width="4.83203125" customWidth="1" style="99" min="11" max="11"/>
    <col width="2.6640625" customWidth="1" style="99" min="12" max="12"/>
    <col width="36.33203125" customWidth="1" style="99" min="13" max="13"/>
    <col width="9.1640625" customWidth="1" style="99" min="14" max="14"/>
    <col width="40.33203125" customWidth="1" style="99" min="15" max="15"/>
    <col width="35.5" customWidth="1" style="99" min="16" max="17"/>
    <col width="21.83203125" customWidth="1" style="99" min="18" max="18"/>
    <col width="30.83203125" customWidth="1" style="99" min="19" max="19"/>
    <col width="30" customWidth="1" style="99" min="20" max="20"/>
    <col width="27.6640625" customWidth="1" style="99" min="21" max="21"/>
    <col width="9.1640625" customWidth="1" style="99" min="22" max="16384"/>
  </cols>
  <sheetData>
    <row r="2" ht="33" customHeight="1" s="486">
      <c r="A2" s="536" t="inlineStr">
        <is>
          <t>Purchase Order</t>
        </is>
      </c>
      <c r="B2" s="99" t="n"/>
      <c r="C2" s="99" t="n"/>
      <c r="D2" s="99" t="n"/>
      <c r="E2" s="99" t="n"/>
      <c r="F2" s="99" t="n"/>
      <c r="G2" s="99" t="n"/>
      <c r="H2" s="99" t="n"/>
      <c r="I2" s="99" t="n"/>
      <c r="J2" s="99" t="n"/>
      <c r="K2" s="99" t="n"/>
      <c r="L2" s="99" t="n"/>
      <c r="M2" s="99" t="n"/>
    </row>
    <row r="3" ht="17" customHeight="1" s="486">
      <c r="B3" s="529" t="n"/>
      <c r="C3" s="99" t="n"/>
      <c r="D3" s="99" t="n"/>
      <c r="E3" s="99" t="n"/>
      <c r="F3" s="99" t="n"/>
      <c r="G3" s="99" t="n"/>
      <c r="H3" s="99" t="n"/>
      <c r="I3" s="99" t="n"/>
      <c r="J3" s="99" t="n"/>
      <c r="K3" s="99" t="n"/>
      <c r="O3" s="101" t="inlineStr">
        <is>
          <t>Lucid</t>
        </is>
      </c>
      <c r="P3" s="102" t="n"/>
    </row>
    <row r="4" ht="16" customHeight="1" s="486">
      <c r="B4" s="103" t="n"/>
      <c r="C4" s="104" t="n"/>
      <c r="D4" s="104" t="n"/>
      <c r="E4" s="104" t="n"/>
      <c r="F4" s="104" t="n"/>
      <c r="G4" s="104" t="n"/>
      <c r="H4" s="104" t="n"/>
      <c r="I4" s="530" t="inlineStr">
        <is>
          <t>Purchase Order #</t>
        </is>
      </c>
      <c r="J4" s="99" t="n"/>
      <c r="K4" s="99" t="n"/>
      <c r="L4" s="99" t="n"/>
      <c r="M4" s="111" t="n">
        <v>11076</v>
      </c>
      <c r="O4" s="101" t="inlineStr">
        <is>
          <t>Control</t>
        </is>
      </c>
      <c r="P4" s="102" t="n"/>
    </row>
    <row r="5" ht="18" customHeight="1" s="486">
      <c r="B5" s="535" t="n"/>
      <c r="C5" s="99" t="n"/>
      <c r="D5" s="535" t="n"/>
      <c r="E5" s="535" t="n"/>
      <c r="F5" s="535" t="n"/>
      <c r="G5" s="535" t="n"/>
      <c r="H5" s="535" t="n"/>
      <c r="I5" s="530" t="inlineStr">
        <is>
          <t>Date:</t>
        </is>
      </c>
      <c r="J5" s="99" t="n"/>
      <c r="K5" s="99" t="n"/>
      <c r="L5" s="99" t="n"/>
      <c r="M5" s="112">
        <f>TODAY()</f>
        <v/>
      </c>
      <c r="O5" s="101" t="inlineStr">
        <is>
          <t>Eastern Glass</t>
        </is>
      </c>
      <c r="P5" s="102" t="n"/>
    </row>
    <row r="6" ht="18" customHeight="1" s="486">
      <c r="B6" s="535" t="n"/>
      <c r="C6" s="99" t="n"/>
      <c r="D6" s="535" t="n"/>
      <c r="E6" s="535" t="n"/>
      <c r="F6" s="535" t="n"/>
      <c r="G6" s="535" t="n"/>
      <c r="H6" s="535" t="n"/>
      <c r="I6" s="507" t="inlineStr">
        <is>
          <t>Project Name:</t>
        </is>
      </c>
      <c r="J6" s="99" t="n"/>
      <c r="K6" s="99" t="n"/>
      <c r="L6" s="99" t="n"/>
      <c r="M6" s="506" t="inlineStr">
        <is>
          <t>RoboPac Repair</t>
        </is>
      </c>
      <c r="O6" s="101" t="inlineStr">
        <is>
          <t>Quality Metal</t>
        </is>
      </c>
      <c r="P6" s="102" t="n"/>
    </row>
    <row r="7" ht="18" customHeight="1" s="486">
      <c r="B7" s="529" t="n"/>
      <c r="C7" s="99" t="n"/>
      <c r="D7" s="529" t="n"/>
      <c r="E7" s="529" t="n"/>
      <c r="F7" s="529" t="n"/>
      <c r="G7" s="529" t="n"/>
      <c r="H7" s="529" t="n"/>
      <c r="I7" s="530" t="inlineStr">
        <is>
          <t>Project Address:</t>
        </is>
      </c>
      <c r="J7" s="99" t="n"/>
      <c r="K7" s="99" t="n"/>
      <c r="L7" s="99" t="n"/>
      <c r="M7" s="522" t="n"/>
      <c r="O7" s="101" t="inlineStr">
        <is>
          <t>Intuitive Powder Coating</t>
        </is>
      </c>
      <c r="P7" s="158" t="inlineStr">
        <is>
          <t>Y</t>
        </is>
      </c>
    </row>
    <row r="8" ht="18" customHeight="1" s="486">
      <c r="C8" s="538" t="n"/>
      <c r="D8" s="538" t="n"/>
      <c r="E8" s="538" t="n"/>
      <c r="F8" s="538" t="n"/>
      <c r="G8" s="538" t="n"/>
      <c r="H8" s="538" t="n"/>
      <c r="I8" s="530" t="inlineStr">
        <is>
          <t>Contact:</t>
        </is>
      </c>
      <c r="J8" s="99" t="n"/>
      <c r="K8" s="99" t="n"/>
      <c r="L8" s="99" t="n"/>
      <c r="M8" s="522" t="inlineStr">
        <is>
          <t>Greg Muniz</t>
        </is>
      </c>
      <c r="O8" s="179" t="inlineStr">
        <is>
          <t>Bonnell</t>
        </is>
      </c>
      <c r="P8" s="180" t="n"/>
    </row>
    <row r="9" ht="18" customHeight="1" s="486">
      <c r="B9" s="105" t="n"/>
      <c r="C9" s="538" t="n"/>
      <c r="D9" s="538" t="n"/>
      <c r="E9" s="538" t="n"/>
      <c r="F9" s="538" t="n"/>
      <c r="G9" s="538" t="n"/>
      <c r="H9" s="538" t="n"/>
      <c r="I9" s="531" t="inlineStr">
        <is>
          <t>Email:</t>
        </is>
      </c>
      <c r="M9" s="113" t="inlineStr">
        <is>
          <t>greg@glassflooringsystems.com</t>
        </is>
      </c>
      <c r="O9" s="101" t="inlineStr">
        <is>
          <t>Lauren Manufacturing</t>
        </is>
      </c>
      <c r="P9" s="102" t="n"/>
    </row>
    <row r="10" ht="18" customHeight="1" s="486">
      <c r="A10" s="98" t="n"/>
      <c r="B10" s="98" t="n"/>
      <c r="C10" s="106" t="n"/>
      <c r="D10" s="106" t="n"/>
      <c r="E10" s="106" t="n"/>
      <c r="F10" s="107" t="n"/>
      <c r="G10" s="107" t="n"/>
      <c r="H10" s="107" t="n"/>
      <c r="I10" s="107" t="n"/>
      <c r="J10" s="506" t="n"/>
      <c r="K10" s="506" t="n"/>
      <c r="L10" s="506" t="n"/>
      <c r="M10" s="506" t="n"/>
      <c r="O10" s="101" t="inlineStr">
        <is>
          <t>Purchase order #</t>
        </is>
      </c>
      <c r="P10" s="102" t="n">
        <v>10141</v>
      </c>
    </row>
    <row r="11" ht="18" customHeight="1" s="486">
      <c r="A11" s="508" t="inlineStr">
        <is>
          <t>6 Aaron Way Sparta, NJ 07871  862-701-5320</t>
        </is>
      </c>
      <c r="B11" s="99" t="n"/>
      <c r="C11" s="99" t="n"/>
      <c r="D11" s="99" t="n"/>
      <c r="E11" s="99" t="n"/>
      <c r="F11" s="99" t="n"/>
      <c r="G11" s="99" t="n"/>
      <c r="H11" s="99" t="n"/>
      <c r="I11" s="115" t="n"/>
      <c r="J11" s="116" t="n"/>
      <c r="K11" s="522" t="n"/>
      <c r="L11" s="522" t="n"/>
      <c r="M11" s="522" t="n"/>
      <c r="O11" s="98">
        <f>"Purchase Order #"&amp;P10</f>
        <v/>
      </c>
      <c r="P11" s="98" t="n"/>
    </row>
    <row r="12" ht="18" customHeight="1" s="486">
      <c r="A12" s="509" t="inlineStr">
        <is>
          <t>www.glassflooringsystems.com</t>
        </is>
      </c>
      <c r="B12" s="99" t="n"/>
      <c r="C12" s="99" t="n"/>
      <c r="D12" s="99" t="n"/>
      <c r="E12" s="99" t="n"/>
      <c r="F12" s="506" t="n"/>
      <c r="G12" s="506" t="n"/>
      <c r="H12" s="506" t="n"/>
      <c r="I12" s="506" t="n"/>
      <c r="J12" s="506" t="n"/>
      <c r="K12" s="506" t="n"/>
      <c r="L12" s="506" t="n"/>
      <c r="M12" s="506" t="n"/>
    </row>
    <row r="13" ht="19" customHeight="1" s="486" thickBot="1">
      <c r="A13" s="117" t="n"/>
      <c r="B13" s="118" t="n"/>
      <c r="C13" s="118" t="n"/>
      <c r="D13" s="118" t="n"/>
      <c r="E13" s="118" t="n"/>
      <c r="F13" s="118" t="n"/>
      <c r="G13" s="118" t="n"/>
      <c r="H13" s="118" t="n"/>
      <c r="I13" s="118" t="n"/>
      <c r="J13" s="118" t="n"/>
      <c r="K13" s="118" t="n"/>
      <c r="L13" s="118" t="n"/>
      <c r="M13" s="118" t="n"/>
    </row>
    <row r="14" ht="19" customHeight="1" s="486" thickTop="1">
      <c r="A14" s="119" t="n"/>
      <c r="B14" s="119" t="n"/>
      <c r="C14" s="119" t="n"/>
      <c r="D14" s="119" t="n"/>
      <c r="E14" s="119" t="n"/>
      <c r="F14" s="119" t="n"/>
      <c r="G14" s="119" t="n"/>
      <c r="H14" s="119" t="n"/>
      <c r="I14" s="119" t="n"/>
      <c r="J14" s="119" t="n"/>
      <c r="K14" s="119" t="n"/>
      <c r="L14" s="119" t="n"/>
      <c r="M14" s="119" t="n"/>
    </row>
    <row r="15" ht="18" customHeight="1" s="486">
      <c r="A15" s="506" t="n"/>
      <c r="B15" s="506" t="n"/>
      <c r="C15" s="506" t="n"/>
      <c r="D15" s="506" t="n"/>
      <c r="E15" s="506" t="n"/>
      <c r="F15" s="506" t="n"/>
      <c r="G15" s="506" t="n"/>
      <c r="H15" s="506" t="n"/>
      <c r="I15" s="506" t="n"/>
      <c r="J15" s="506" t="n"/>
      <c r="K15" s="506" t="n"/>
      <c r="L15" s="506" t="n"/>
      <c r="M15" s="506" t="n"/>
    </row>
    <row r="16" ht="19" customHeight="1" s="486" thickBot="1">
      <c r="A16" s="501" t="n"/>
    </row>
    <row r="17" ht="23" customHeight="1" s="486" thickBot="1">
      <c r="A17" s="632" t="inlineStr">
        <is>
          <t>Vendor</t>
        </is>
      </c>
      <c r="B17" s="633" t="n"/>
      <c r="C17" s="633" t="n"/>
      <c r="D17" s="633" t="n"/>
      <c r="E17" s="634" t="n"/>
      <c r="F17" s="114" t="n"/>
      <c r="G17" s="114" t="n"/>
      <c r="H17" s="114" t="n"/>
      <c r="I17" s="114" t="n"/>
      <c r="J17" s="635" t="inlineStr">
        <is>
          <t>Ship To</t>
        </is>
      </c>
      <c r="K17" s="633" t="n"/>
      <c r="L17" s="633" t="n"/>
      <c r="M17" s="634" t="n"/>
    </row>
    <row r="18" ht="113" customHeight="1" s="486">
      <c r="A18" s="545" t="inlineStr">
        <is>
          <t>ROBOPAC USA Valentina Ferrari</t>
        </is>
      </c>
      <c r="B18" s="636" t="n"/>
      <c r="C18" s="636" t="n"/>
      <c r="D18" s="636" t="n"/>
      <c r="E18" s="127" t="n"/>
      <c r="F18" s="498" t="n"/>
      <c r="G18" s="498" t="n"/>
      <c r="H18" s="498" t="n"/>
      <c r="I18" s="498" t="n"/>
      <c r="J18" s="637" t="inlineStr">
        <is>
          <t>Glass Flooring Systems                                                             6 Aaron Way                                                            Sparta, NJ 07871                                                                       Attn: Greg Muniz                                                                             862-701-5320</t>
        </is>
      </c>
      <c r="K18" s="621" t="n"/>
      <c r="L18" s="621" t="n"/>
      <c r="M18" s="620" t="n"/>
      <c r="O18" s="108" t="inlineStr">
        <is>
          <t>Lucid Glass Studio                                  76 Amarai Street                                     East Providence, Rhode Island 02915                                              Attn: Clint Hopkins                           401-434-1277</t>
        </is>
      </c>
      <c r="P18" s="109" t="inlineStr">
        <is>
          <t>Control Glass, Acustico y Solar, S.L. POL. Ind La Paz, Oporto, 4              44195 Teruel Spain                                 Attn: Alvaro del Rio                    +34628067281</t>
        </is>
      </c>
      <c r="Q18" s="108" t="inlineStr">
        <is>
          <t>Eastern Glass Resources, Inc.               770 Supor Boulevard                             Harrison, NJ 07029                                   Attn: Max Fisher                                  973-483-8411</t>
        </is>
      </c>
      <c r="R18" s="157" t="inlineStr">
        <is>
          <t>Quality Metal Finishing                                     80 George Street                                     Paterson, NJ 07503                                Attn: Brad                                         973-345-0963</t>
        </is>
      </c>
      <c r="S18" s="108" t="inlineStr">
        <is>
          <t>Intuitive Powder Coating                      100 Hibernia Ave.                            Rockaway, NJ 07866                                  Attn: Chris Ruhren                              862-432-7851</t>
        </is>
      </c>
      <c r="T18" s="108" t="inlineStr">
        <is>
          <t>Bonnell Aluminum                                       25 Bonnell Street                                         PO Box 428                                     Newnan Georgia 30263                                  Attn: Kristen Avery                               615-683-2922</t>
        </is>
      </c>
      <c r="U18" s="108" t="inlineStr">
        <is>
          <t>Lauren Manufacturing                                       2228 Reiser Ave                                         New Philadelphia, Ohio 44663                                                                       Attn: Catherine Moss                               330-339-3373</t>
        </is>
      </c>
    </row>
    <row r="19" ht="18" customHeight="1" s="486">
      <c r="A19" s="500" t="n"/>
      <c r="B19" s="500" t="n"/>
      <c r="C19" s="500" t="n"/>
      <c r="D19" s="500" t="n"/>
      <c r="E19" s="500" t="n"/>
      <c r="F19" s="500" t="n"/>
      <c r="G19" s="500" t="n"/>
      <c r="H19" s="500" t="n"/>
      <c r="I19" s="500" t="n"/>
      <c r="J19" s="500" t="n"/>
      <c r="K19" s="500" t="n"/>
      <c r="L19" s="500" t="n"/>
      <c r="M19" s="506" t="n"/>
    </row>
    <row r="20" ht="18" customHeight="1" s="486">
      <c r="A20" s="500">
        <f>IF(P3="Y","Clint",IF(P4="Y","Alvaro",IF(P5="Y","Joe","")))</f>
        <v/>
      </c>
      <c r="B20" s="506" t="n"/>
      <c r="C20" s="500" t="n"/>
      <c r="D20" s="500" t="n"/>
      <c r="E20" s="500" t="n"/>
      <c r="F20" s="500" t="n"/>
      <c r="G20" s="500" t="n"/>
      <c r="H20" s="500" t="n"/>
      <c r="I20" s="500" t="n"/>
      <c r="J20" s="500" t="n"/>
      <c r="K20" s="500" t="n"/>
      <c r="L20" s="500" t="n"/>
      <c r="M20" s="506" t="n"/>
    </row>
    <row r="21" ht="14" customHeight="1" s="486">
      <c r="A21" s="120" t="n"/>
      <c r="B21" s="499" t="n"/>
      <c r="C21" s="121" t="n"/>
      <c r="D21" s="121" t="n"/>
      <c r="E21" s="121" t="n"/>
      <c r="F21" s="121" t="n"/>
      <c r="G21" s="121" t="n"/>
      <c r="H21" s="121" t="n"/>
      <c r="I21" s="121" t="n"/>
      <c r="J21" s="121" t="n"/>
      <c r="K21" s="121" t="n"/>
      <c r="L21" s="500" t="n"/>
      <c r="M21" s="506" t="n"/>
    </row>
    <row r="22" ht="44" customHeight="1" s="486">
      <c r="A22" s="499" t="inlineStr">
        <is>
          <t>Approval to schedule technician on Thursday 9/15/22 to repair inopperable RoboPac Machine. Quote #412 REV</t>
        </is>
      </c>
      <c r="B22" s="99" t="n"/>
      <c r="C22" s="99" t="n"/>
      <c r="D22" s="99" t="n"/>
      <c r="E22" s="99" t="n"/>
      <c r="F22" s="99" t="n"/>
      <c r="G22" s="99" t="n"/>
      <c r="H22" s="99" t="n"/>
      <c r="I22" s="99" t="n"/>
      <c r="J22" s="99" t="n"/>
      <c r="K22" s="99" t="n"/>
      <c r="L22" s="99" t="n"/>
      <c r="M22" s="99" t="n"/>
    </row>
    <row r="23" ht="18" customHeight="1" s="486">
      <c r="A23" s="500" t="n"/>
      <c r="B23" s="99" t="n"/>
      <c r="C23" s="99" t="n"/>
      <c r="D23" s="99" t="n"/>
      <c r="E23" s="99" t="n"/>
      <c r="F23" s="99" t="n"/>
      <c r="G23" s="99" t="n"/>
      <c r="H23" s="99" t="n"/>
      <c r="I23" s="99" t="n"/>
      <c r="J23" s="99" t="n"/>
      <c r="K23" s="99" t="n"/>
      <c r="L23" s="99" t="n"/>
      <c r="M23" s="99" t="n"/>
    </row>
    <row r="24" ht="18" customHeight="1" s="486">
      <c r="A24" s="500" t="n"/>
      <c r="B24" s="99" t="n"/>
      <c r="C24" s="99" t="n"/>
      <c r="D24" s="99" t="n"/>
      <c r="E24" s="99" t="n"/>
      <c r="F24" s="99" t="n"/>
      <c r="G24" s="99" t="n"/>
      <c r="H24" s="99" t="n"/>
      <c r="I24" s="99" t="n"/>
      <c r="J24" s="99" t="n"/>
      <c r="K24" s="99" t="n"/>
      <c r="L24" s="99" t="n"/>
      <c r="M24" s="99" t="n"/>
    </row>
    <row r="25" ht="18" customHeight="1" s="486">
      <c r="A25" s="500" t="n"/>
      <c r="B25" s="500" t="n"/>
      <c r="C25" s="501" t="n"/>
      <c r="D25" s="501" t="n"/>
      <c r="E25" s="501" t="n"/>
      <c r="F25" s="501" t="n"/>
      <c r="G25" s="501" t="n"/>
      <c r="H25" s="501" t="n"/>
      <c r="I25" s="501" t="n"/>
      <c r="J25" s="501" t="n"/>
      <c r="K25" s="501" t="n"/>
      <c r="L25" s="501" t="n"/>
      <c r="M25" s="501" t="n"/>
    </row>
    <row r="26" ht="19" customHeight="1" s="486">
      <c r="A26" s="500" t="n"/>
      <c r="B26" s="123" t="n"/>
      <c r="C26" s="123" t="n"/>
      <c r="D26" s="123" t="n"/>
      <c r="E26" s="123" t="n"/>
      <c r="F26" s="501" t="n"/>
      <c r="G26" s="501" t="n"/>
      <c r="H26" s="501" t="n"/>
      <c r="I26" s="501" t="n"/>
      <c r="J26" s="501" t="n"/>
      <c r="K26" s="501" t="n"/>
      <c r="L26" s="501" t="n"/>
      <c r="M26" s="506" t="n"/>
    </row>
    <row r="27" ht="19" customHeight="1" s="486">
      <c r="A27" s="124" t="n"/>
      <c r="B27" s="123" t="n"/>
      <c r="C27" s="123" t="n"/>
      <c r="D27" s="123" t="n"/>
      <c r="E27" s="123" t="n"/>
      <c r="F27" s="501" t="n"/>
      <c r="G27" s="501" t="n"/>
      <c r="H27" s="501" t="n"/>
      <c r="I27" s="501" t="n"/>
      <c r="J27" s="501" t="n"/>
      <c r="K27" s="501" t="n"/>
      <c r="L27" s="501" t="n"/>
      <c r="M27" s="506" t="n"/>
    </row>
    <row r="28" ht="19" customHeight="1" s="486">
      <c r="A28" s="124" t="n"/>
      <c r="B28" s="123" t="n"/>
      <c r="C28" s="123" t="n"/>
      <c r="D28" s="123" t="n"/>
      <c r="E28" s="123" t="n"/>
      <c r="F28" s="501" t="n"/>
      <c r="G28" s="501" t="n"/>
      <c r="H28" s="501" t="n"/>
      <c r="I28" s="501" t="n"/>
      <c r="J28" s="501" t="n"/>
      <c r="K28" s="501" t="n"/>
      <c r="L28" s="501" t="n"/>
      <c r="M28" s="506" t="n"/>
    </row>
    <row r="29" ht="19" customHeight="1" s="486">
      <c r="A29" s="124" t="n"/>
      <c r="B29" s="123" t="n"/>
      <c r="C29" s="123" t="n"/>
      <c r="D29" s="123" t="n"/>
      <c r="E29" s="123" t="n"/>
      <c r="F29" s="501" t="n"/>
      <c r="G29" s="501" t="n"/>
      <c r="H29" s="501" t="n"/>
      <c r="I29" s="501" t="n"/>
      <c r="J29" s="501" t="n"/>
      <c r="K29" s="501" t="n"/>
      <c r="L29" s="501" t="n"/>
      <c r="M29" s="506" t="n"/>
    </row>
    <row r="30" ht="19" customHeight="1" s="486">
      <c r="A30" s="124" t="n"/>
      <c r="B30" s="123" t="n"/>
      <c r="C30" s="123" t="n"/>
      <c r="D30" s="123" t="n"/>
      <c r="E30" s="123" t="n"/>
      <c r="F30" s="501" t="n"/>
      <c r="G30" s="501" t="n"/>
      <c r="H30" s="501" t="n"/>
      <c r="I30" s="501" t="n"/>
      <c r="J30" s="501" t="n"/>
      <c r="K30" s="501" t="n"/>
      <c r="L30" s="501" t="n"/>
      <c r="M30" s="506" t="n"/>
    </row>
    <row r="31" ht="19" customHeight="1" s="486">
      <c r="A31" s="124" t="n"/>
      <c r="B31" s="123" t="n"/>
      <c r="C31" s="123" t="n"/>
      <c r="D31" s="123" t="n"/>
      <c r="E31" s="123" t="n"/>
      <c r="F31" s="501" t="n"/>
      <c r="G31" s="501" t="n"/>
      <c r="H31" s="501" t="n"/>
      <c r="I31" s="501" t="n"/>
      <c r="J31" s="501" t="n"/>
      <c r="K31" s="501" t="n"/>
      <c r="L31" s="501" t="n"/>
      <c r="M31" s="506" t="n"/>
    </row>
    <row r="32" ht="19" customHeight="1" s="486">
      <c r="A32" s="500" t="n"/>
      <c r="B32" s="125" t="n"/>
      <c r="C32" s="123" t="n"/>
      <c r="D32" s="123" t="n"/>
      <c r="E32" s="123" t="n"/>
      <c r="F32" s="123" t="n"/>
      <c r="G32" s="123" t="n"/>
      <c r="H32" s="123" t="n"/>
      <c r="I32" s="123" t="n"/>
      <c r="J32" s="501" t="n"/>
      <c r="K32" s="501" t="n"/>
      <c r="L32" s="501" t="n"/>
      <c r="M32" s="501" t="n"/>
    </row>
    <row r="33" ht="19" customHeight="1" s="486">
      <c r="A33" s="500" t="n"/>
      <c r="B33" s="508" t="n"/>
      <c r="C33" s="123" t="n"/>
      <c r="D33" s="123" t="n"/>
      <c r="E33" s="123" t="n"/>
      <c r="F33" s="123" t="n"/>
      <c r="G33" s="123" t="n"/>
      <c r="H33" s="123" t="n"/>
      <c r="I33" s="123" t="n"/>
      <c r="J33" s="501" t="n"/>
      <c r="K33" s="501" t="n"/>
      <c r="L33" s="501" t="n"/>
      <c r="M33" s="501" t="n"/>
    </row>
    <row r="34" ht="18" customHeight="1" s="486">
      <c r="A34" s="500" t="n"/>
      <c r="B34" s="125" t="n"/>
      <c r="C34" s="501" t="n"/>
      <c r="D34" s="501" t="n"/>
      <c r="E34" s="501" t="n"/>
      <c r="F34" s="501" t="n"/>
      <c r="G34" s="501" t="n"/>
      <c r="H34" s="501" t="n"/>
      <c r="I34" s="501" t="n"/>
      <c r="J34" s="501" t="n"/>
      <c r="K34" s="501" t="n"/>
      <c r="L34" s="501" t="n"/>
      <c r="M34" s="501" t="n"/>
    </row>
    <row r="35" ht="18" customHeight="1" s="486">
      <c r="A35" s="500" t="n"/>
      <c r="B35" s="125" t="n"/>
      <c r="C35" s="501" t="n"/>
      <c r="D35" s="501" t="n"/>
      <c r="E35" s="501" t="n"/>
      <c r="F35" s="501" t="n"/>
      <c r="G35" s="501" t="n"/>
      <c r="H35" s="501" t="n"/>
      <c r="I35" s="501" t="n"/>
      <c r="J35" s="501" t="n"/>
      <c r="K35" s="501" t="n"/>
      <c r="L35" s="501" t="n"/>
      <c r="M35" s="501" t="n"/>
    </row>
    <row r="36" ht="18" customHeight="1" s="486">
      <c r="A36" s="500" t="n"/>
      <c r="B36" s="125" t="n"/>
      <c r="C36" s="501" t="n"/>
      <c r="D36" s="501" t="n"/>
      <c r="E36" s="501" t="n"/>
      <c r="F36" s="501" t="n"/>
      <c r="G36" s="501" t="n"/>
      <c r="H36" s="501" t="n"/>
      <c r="I36" s="501" t="n"/>
      <c r="J36" s="501" t="n"/>
      <c r="K36" s="501" t="n"/>
      <c r="L36" s="501" t="n"/>
      <c r="M36" s="501" t="n"/>
    </row>
    <row r="37" ht="18" customHeight="1" s="486">
      <c r="A37" s="500" t="n"/>
      <c r="B37" s="125" t="n"/>
      <c r="C37" s="501" t="n"/>
      <c r="D37" s="501" t="n"/>
      <c r="E37" s="501" t="n"/>
      <c r="F37" s="501" t="n"/>
      <c r="G37" s="501" t="n"/>
      <c r="H37" s="501" t="n"/>
      <c r="I37" s="501" t="n"/>
      <c r="J37" s="501" t="n"/>
      <c r="K37" s="501" t="n"/>
      <c r="L37" s="501" t="n"/>
      <c r="M37" s="501" t="n"/>
    </row>
    <row r="38" ht="18" customHeight="1" s="486">
      <c r="A38" s="500" t="n"/>
      <c r="B38" s="125" t="n"/>
      <c r="C38" s="501" t="n"/>
      <c r="D38" s="501" t="n"/>
      <c r="E38" s="501" t="n"/>
      <c r="F38" s="501" t="n"/>
      <c r="G38" s="501" t="n"/>
      <c r="H38" s="501" t="n"/>
      <c r="I38" s="501" t="n"/>
      <c r="J38" s="501" t="n"/>
      <c r="K38" s="501" t="n"/>
      <c r="L38" s="501" t="n"/>
      <c r="M38" s="501" t="n"/>
    </row>
    <row r="39" ht="18" customHeight="1" s="486">
      <c r="A39" s="500" t="n"/>
      <c r="B39" s="500" t="n"/>
      <c r="C39" s="501" t="n"/>
      <c r="D39" s="501" t="n"/>
      <c r="E39" s="501" t="n"/>
      <c r="F39" s="501" t="n"/>
      <c r="G39" s="501" t="n"/>
      <c r="H39" s="501" t="n"/>
      <c r="I39" s="501" t="n"/>
      <c r="J39" s="501" t="n"/>
      <c r="K39" s="501" t="n"/>
      <c r="L39" s="501" t="n"/>
      <c r="M39" s="501" t="n"/>
    </row>
    <row r="40" ht="18" customHeight="1" s="486">
      <c r="A40" s="500" t="n"/>
      <c r="B40" s="499" t="n"/>
      <c r="C40" s="99" t="n"/>
      <c r="D40" s="99" t="n"/>
      <c r="E40" s="99" t="n"/>
      <c r="F40" s="99" t="n"/>
      <c r="G40" s="99" t="n"/>
      <c r="H40" s="99" t="n"/>
      <c r="I40" s="99" t="n"/>
      <c r="J40" s="99" t="n"/>
      <c r="K40" s="99" t="n"/>
      <c r="L40" s="99" t="n"/>
      <c r="M40" s="99" t="n"/>
    </row>
    <row r="41" ht="18" customHeight="1" s="486">
      <c r="A41" s="500" t="n"/>
      <c r="B41" s="499" t="n"/>
      <c r="C41" s="121" t="n"/>
      <c r="D41" s="121" t="n"/>
      <c r="E41" s="121" t="n"/>
      <c r="F41" s="121" t="n"/>
      <c r="G41" s="121" t="n"/>
      <c r="H41" s="121" t="n"/>
      <c r="I41" s="121" t="n"/>
      <c r="J41" s="121" t="n"/>
      <c r="K41" s="121" t="n"/>
      <c r="L41" s="500" t="n"/>
      <c r="M41" s="506" t="n"/>
    </row>
    <row r="42" ht="18" customHeight="1" s="486">
      <c r="A42" s="500" t="inlineStr">
        <is>
          <t>Thank You</t>
        </is>
      </c>
      <c r="B42" s="99" t="n"/>
      <c r="C42" s="99" t="n"/>
      <c r="D42" s="99" t="n"/>
      <c r="E42" s="99" t="n"/>
      <c r="F42" s="99" t="n"/>
      <c r="G42" s="99" t="n"/>
      <c r="H42" s="99" t="n"/>
      <c r="I42" s="99" t="n"/>
      <c r="J42" s="99" t="n"/>
      <c r="K42" s="99" t="n"/>
      <c r="L42" s="99" t="n"/>
      <c r="M42" s="506" t="n"/>
    </row>
    <row r="43" ht="18" customHeight="1" s="486">
      <c r="A43" s="499" t="n"/>
      <c r="B43" s="121" t="n"/>
      <c r="C43" s="121" t="n"/>
      <c r="D43" s="121" t="n"/>
      <c r="E43" s="121" t="n"/>
      <c r="F43" s="121" t="n"/>
      <c r="G43" s="121" t="n"/>
      <c r="H43" s="121" t="n"/>
      <c r="I43" s="121" t="n"/>
      <c r="J43" s="121" t="n"/>
      <c r="K43" s="500" t="n"/>
      <c r="L43" s="506" t="n"/>
      <c r="M43" s="506" t="n"/>
    </row>
    <row r="44" ht="18" customHeight="1" s="486">
      <c r="A44" s="500" t="inlineStr">
        <is>
          <t>Greg Muniz</t>
        </is>
      </c>
      <c r="B44" s="501" t="n"/>
      <c r="C44" s="121" t="n"/>
      <c r="D44" s="121" t="n"/>
      <c r="E44" s="121" t="n"/>
      <c r="F44" s="121" t="n"/>
      <c r="G44" s="121" t="n"/>
      <c r="H44" s="121" t="n"/>
      <c r="I44" s="121" t="n"/>
      <c r="J44" s="121" t="n"/>
      <c r="K44" s="500" t="n"/>
      <c r="L44" s="506" t="n"/>
      <c r="M44" s="506" t="n"/>
    </row>
    <row r="45" ht="18" customHeight="1" s="486">
      <c r="A45" s="126" t="inlineStr">
        <is>
          <t>greg@glassflooringsystems.com</t>
        </is>
      </c>
      <c r="B45" s="501" t="n"/>
      <c r="C45" s="121" t="n"/>
      <c r="D45" s="121" t="n"/>
      <c r="E45" s="121" t="n"/>
      <c r="F45" s="121" t="n"/>
      <c r="G45" s="121" t="n"/>
      <c r="H45" s="121" t="n"/>
      <c r="I45" s="121" t="n"/>
      <c r="J45" s="121" t="n"/>
      <c r="K45" s="500" t="n"/>
      <c r="L45" s="506" t="n"/>
      <c r="M45" s="506" t="n"/>
    </row>
    <row r="46" ht="18" customHeight="1" s="486">
      <c r="A46" s="500" t="n"/>
      <c r="B46" s="499" t="n"/>
      <c r="C46" s="121" t="n"/>
      <c r="D46" s="121" t="n"/>
      <c r="E46" s="121" t="n"/>
      <c r="F46" s="121" t="n"/>
      <c r="G46" s="121" t="n"/>
      <c r="H46" s="121" t="n"/>
      <c r="I46" s="121" t="n"/>
      <c r="J46" s="121" t="n"/>
      <c r="K46" s="121" t="n"/>
      <c r="L46" s="500" t="n"/>
      <c r="M46" s="506" t="n"/>
    </row>
    <row r="47" ht="18" customHeight="1" s="486">
      <c r="A47" s="500" t="n"/>
      <c r="B47" s="499" t="n"/>
      <c r="C47" s="121" t="n"/>
      <c r="D47" s="121" t="n"/>
      <c r="E47" s="121" t="n"/>
      <c r="F47" s="121" t="n"/>
      <c r="G47" s="121" t="n"/>
      <c r="H47" s="121" t="n"/>
      <c r="I47" s="121" t="n"/>
      <c r="J47" s="121" t="n"/>
      <c r="K47" s="121" t="n"/>
      <c r="L47" s="500" t="n"/>
      <c r="M47" s="506" t="n"/>
    </row>
    <row r="48" ht="18" customHeight="1" s="486">
      <c r="A48" s="500" t="n"/>
      <c r="B48" s="499" t="n"/>
      <c r="C48" s="121" t="n"/>
      <c r="D48" s="121" t="n"/>
      <c r="E48" s="121" t="n"/>
      <c r="F48" s="121" t="n"/>
      <c r="G48" s="121" t="n"/>
      <c r="H48" s="121" t="n"/>
      <c r="I48" s="121" t="n"/>
      <c r="J48" s="121" t="n"/>
      <c r="K48" s="121" t="n"/>
      <c r="L48" s="500" t="n"/>
      <c r="M48" s="506" t="n"/>
    </row>
    <row r="49" ht="18" customHeight="1" s="486">
      <c r="A49" s="500" t="n"/>
      <c r="B49" s="499" t="n"/>
      <c r="C49" s="121" t="n"/>
      <c r="D49" s="121" t="n"/>
      <c r="E49" s="121" t="n"/>
      <c r="F49" s="121" t="n"/>
      <c r="G49" s="121" t="n"/>
      <c r="H49" s="121" t="n"/>
      <c r="I49" s="121" t="n"/>
      <c r="J49" s="121" t="n"/>
      <c r="K49" s="121" t="n"/>
      <c r="L49" s="500" t="n"/>
      <c r="M49" s="506" t="n"/>
    </row>
    <row r="50" ht="18" customHeight="1" s="486">
      <c r="A50" s="500" t="n"/>
      <c r="B50" s="499" t="n"/>
      <c r="C50" s="121" t="n"/>
      <c r="D50" s="121" t="n"/>
      <c r="E50" s="121" t="n"/>
      <c r="F50" s="121" t="n"/>
      <c r="G50" s="121" t="n"/>
      <c r="H50" s="121" t="n"/>
      <c r="I50" s="121" t="n"/>
      <c r="J50" s="121" t="n"/>
      <c r="K50" s="121" t="n"/>
      <c r="L50" s="500" t="n"/>
      <c r="M50" s="506" t="n"/>
    </row>
    <row r="51" ht="18" customHeight="1" s="486">
      <c r="A51" s="500" t="n"/>
      <c r="B51" s="499" t="n"/>
      <c r="C51" s="121" t="n"/>
      <c r="D51" s="121" t="n"/>
      <c r="E51" s="121" t="n"/>
      <c r="F51" s="121" t="n"/>
      <c r="G51" s="121" t="n"/>
      <c r="H51" s="121" t="n"/>
      <c r="I51" s="121" t="n"/>
      <c r="J51" s="121" t="n"/>
      <c r="K51" s="121" t="n"/>
      <c r="L51" s="500" t="n"/>
      <c r="M51" s="506" t="n"/>
    </row>
    <row r="52" ht="18" customHeight="1" s="486">
      <c r="A52" s="500" t="n"/>
      <c r="B52" s="499" t="n"/>
      <c r="C52" s="121" t="n"/>
      <c r="D52" s="121" t="n"/>
      <c r="E52" s="121" t="n"/>
      <c r="F52" s="121" t="n"/>
      <c r="G52" s="121" t="n"/>
      <c r="H52" s="121" t="n"/>
      <c r="I52" s="121" t="n"/>
      <c r="J52" s="121" t="n"/>
      <c r="K52" s="121" t="n"/>
      <c r="L52" s="500" t="n"/>
      <c r="M52" s="506" t="n"/>
    </row>
    <row r="53" ht="18" customHeight="1" s="486">
      <c r="A53" s="500" t="n"/>
      <c r="B53" s="499" t="n"/>
      <c r="C53" s="121" t="n"/>
      <c r="D53" s="121" t="n"/>
      <c r="E53" s="121" t="n"/>
      <c r="F53" s="121" t="n"/>
      <c r="G53" s="121" t="n"/>
      <c r="H53" s="121" t="n"/>
      <c r="I53" s="121" t="n"/>
      <c r="J53" s="121" t="n"/>
      <c r="K53" s="121" t="n"/>
      <c r="L53" s="500" t="n"/>
      <c r="M53" s="506" t="n"/>
    </row>
    <row r="54" ht="18" customHeight="1" s="486">
      <c r="A54" s="500" t="n"/>
      <c r="B54" s="499" t="n"/>
      <c r="C54" s="121" t="n"/>
      <c r="D54" s="121" t="n"/>
      <c r="E54" s="121" t="n"/>
      <c r="F54" s="121" t="n"/>
      <c r="G54" s="121" t="n"/>
      <c r="H54" s="121" t="n"/>
      <c r="I54" s="121" t="n"/>
      <c r="J54" s="121" t="n"/>
      <c r="K54" s="121" t="n"/>
      <c r="L54" s="500" t="n"/>
      <c r="M54" s="506" t="n"/>
    </row>
    <row r="55" ht="18" customHeight="1" s="486">
      <c r="A55" s="500" t="n"/>
      <c r="B55" s="499" t="n"/>
      <c r="C55" s="121" t="n"/>
      <c r="D55" s="121" t="n"/>
      <c r="E55" s="121" t="n"/>
      <c r="F55" s="121" t="n"/>
      <c r="G55" s="121" t="n"/>
      <c r="H55" s="121" t="n"/>
      <c r="I55" s="121" t="n"/>
      <c r="J55" s="121" t="n"/>
      <c r="K55" s="121" t="n"/>
      <c r="L55" s="500" t="n"/>
      <c r="M55" s="506" t="n"/>
    </row>
    <row r="56" ht="18" customHeight="1" s="486">
      <c r="A56" s="506" t="n"/>
      <c r="B56" s="506" t="n"/>
      <c r="C56" s="506" t="n"/>
      <c r="D56" s="506" t="n"/>
      <c r="E56" s="506" t="n"/>
      <c r="F56" s="506" t="n"/>
      <c r="G56" s="506" t="n"/>
      <c r="H56" s="506" t="n"/>
      <c r="I56" s="506" t="n"/>
      <c r="J56" s="506" t="n"/>
      <c r="K56" s="506" t="n"/>
      <c r="L56" s="506" t="n"/>
      <c r="M56" s="506" t="n"/>
    </row>
    <row r="57" ht="18" customHeight="1" s="486">
      <c r="A57" s="506" t="n"/>
      <c r="B57" s="506" t="n"/>
      <c r="C57" s="506" t="n"/>
      <c r="D57" s="506" t="n"/>
      <c r="E57" s="506" t="n"/>
      <c r="F57" s="506" t="n"/>
      <c r="G57" s="506" t="n"/>
      <c r="H57" s="506" t="n"/>
      <c r="I57" s="506" t="n"/>
      <c r="J57" s="506" t="n"/>
      <c r="K57" s="506" t="n"/>
      <c r="L57" s="506" t="n"/>
      <c r="M57" s="506" t="n"/>
    </row>
    <row r="58" ht="18" customHeight="1" s="486">
      <c r="A58" s="506" t="n"/>
      <c r="B58" s="506" t="n"/>
      <c r="C58" s="506" t="n"/>
      <c r="D58" s="506" t="n"/>
      <c r="E58" s="506" t="n"/>
      <c r="F58" s="506" t="n"/>
      <c r="G58" s="506" t="n"/>
      <c r="H58" s="506" t="n"/>
      <c r="I58" s="506" t="n"/>
      <c r="J58" s="506" t="n"/>
      <c r="K58" s="506" t="n"/>
      <c r="L58" s="506" t="n"/>
      <c r="M58" s="506" t="n"/>
    </row>
    <row r="59" ht="18" customHeight="1" s="486">
      <c r="A59" s="506" t="n"/>
      <c r="B59" s="506" t="n"/>
      <c r="C59" s="506" t="n"/>
      <c r="D59" s="506" t="n"/>
      <c r="E59" s="506" t="n"/>
      <c r="F59" s="506" t="n"/>
      <c r="G59" s="506" t="n"/>
      <c r="H59" s="506" t="n"/>
      <c r="I59" s="506" t="n"/>
      <c r="J59" s="506" t="n"/>
      <c r="K59" s="506" t="n"/>
      <c r="L59" s="506" t="n"/>
      <c r="M59" s="506" t="n"/>
    </row>
    <row r="60" ht="18" customHeight="1" s="486">
      <c r="A60" s="506" t="n"/>
      <c r="B60" s="506" t="n"/>
      <c r="C60" s="506" t="n"/>
      <c r="D60" s="506" t="n"/>
      <c r="E60" s="506" t="n"/>
      <c r="F60" s="506" t="n"/>
      <c r="G60" s="506" t="n"/>
      <c r="H60" s="506" t="n"/>
      <c r="I60" s="506" t="n"/>
      <c r="J60" s="506" t="n"/>
      <c r="K60" s="506" t="n"/>
      <c r="L60" s="506" t="n"/>
      <c r="M60" s="506" t="n"/>
    </row>
    <row r="61" ht="19" customHeight="1" s="486">
      <c r="A61" s="492" t="n"/>
    </row>
    <row r="62" ht="16" customHeight="1" s="486">
      <c r="A62" s="521" t="n"/>
    </row>
    <row r="63" ht="14" customHeight="1" s="486">
      <c r="A63" s="521" t="n"/>
    </row>
  </sheetData>
  <mergeCells count="26">
    <mergeCell ref="B7:C7"/>
    <mergeCell ref="A23:M23"/>
    <mergeCell ref="I8:L8"/>
    <mergeCell ref="A22:M22"/>
    <mergeCell ref="I4:L4"/>
    <mergeCell ref="A62:M62"/>
    <mergeCell ref="A11:H11"/>
    <mergeCell ref="A63:M63"/>
    <mergeCell ref="J18:M18"/>
    <mergeCell ref="A42:L42"/>
    <mergeCell ref="I9:L9"/>
    <mergeCell ref="J17:M17"/>
    <mergeCell ref="I6:L6"/>
    <mergeCell ref="B40:M40"/>
    <mergeCell ref="A24:M24"/>
    <mergeCell ref="B3:K3"/>
    <mergeCell ref="A12:E12"/>
    <mergeCell ref="A61:M61"/>
    <mergeCell ref="I7:L7"/>
    <mergeCell ref="A17:E17"/>
    <mergeCell ref="A16:M16"/>
    <mergeCell ref="B6:C6"/>
    <mergeCell ref="A18:D18"/>
    <mergeCell ref="B5:C5"/>
    <mergeCell ref="A2:M2"/>
    <mergeCell ref="I5:L5"/>
  </mergeCells>
  <hyperlinks>
    <hyperlink xmlns:r="http://schemas.openxmlformats.org/officeDocument/2006/relationships" ref="M9" r:id="rId1"/>
    <hyperlink xmlns:r="http://schemas.openxmlformats.org/officeDocument/2006/relationships" ref="A12" r:id="rId2"/>
    <hyperlink xmlns:r="http://schemas.openxmlformats.org/officeDocument/2006/relationships" ref="A45" r:id="rId3"/>
  </hyperlinks>
  <pageMargins left="0.7" right="0.7" top="0.75" bottom="0.75" header="0.3" footer="0.3"/>
  <pageSetup orientation="portrait" scale="64" horizontalDpi="4294967292" verticalDpi="4294967292"/>
  <rowBreaks count="1" manualBreakCount="1">
    <brk id="63" min="0" max="16383" man="1"/>
  </rowBreaks>
  <colBreaks count="1" manualBreakCount="1">
    <brk id="13" min="0" max="1048575" man="1"/>
  </colBreaks>
  <drawing xmlns:r="http://schemas.openxmlformats.org/officeDocument/2006/relationships" r:id="rId4"/>
</worksheet>
</file>

<file path=xl/worksheets/sheet9.xml><?xml version="1.0" encoding="utf-8"?>
<worksheet xmlns="http://schemas.openxmlformats.org/spreadsheetml/2006/main">
  <sheetPr>
    <outlinePr summaryBelow="1" summaryRight="1"/>
    <pageSetUpPr/>
  </sheetPr>
  <dimension ref="A1:M68"/>
  <sheetViews>
    <sheetView topLeftCell="A34" zoomScale="125" zoomScaleNormal="125" zoomScalePageLayoutView="125" workbookViewId="0">
      <selection activeCell="H21" sqref="H21"/>
    </sheetView>
  </sheetViews>
  <sheetFormatPr baseColWidth="10" defaultColWidth="9.1640625" defaultRowHeight="13"/>
  <cols>
    <col width="2.6640625" customWidth="1" style="1" min="1" max="1"/>
    <col width="3.6640625" customWidth="1" style="1" min="2" max="2"/>
    <col width="8" customWidth="1" style="1" min="3" max="3"/>
    <col width="18" customWidth="1" style="1" min="4" max="4"/>
    <col width="3.6640625" customWidth="1" style="1" min="5" max="5"/>
    <col width="9" customWidth="1" style="1" min="6" max="6"/>
    <col width="12" customWidth="1" style="1" min="7" max="7"/>
    <col width="13.5" customWidth="1" style="1" min="8" max="8"/>
    <col width="13.83203125" customWidth="1" style="1" min="9" max="9"/>
    <col width="9" customWidth="1" style="1" min="10" max="10"/>
    <col width="7.1640625" customWidth="1" style="1" min="11" max="11"/>
    <col width="18.6640625" customWidth="1" style="1" min="12" max="12"/>
    <col width="10.83203125" bestFit="1" customWidth="1" style="1" min="13" max="13"/>
    <col width="9.1640625" customWidth="1" style="1" min="14" max="16384"/>
  </cols>
  <sheetData>
    <row r="1" ht="28.5" customHeight="1" s="486">
      <c r="A1" s="485" t="inlineStr">
        <is>
          <t>Glass Flooring Systems, Inc.</t>
        </is>
      </c>
    </row>
    <row r="2">
      <c r="A2" s="487" t="inlineStr">
        <is>
          <t xml:space="preserve">6 Aaron Way Sparta, NJ 07871 - Phone (862) 701-5320 </t>
        </is>
      </c>
    </row>
    <row r="3">
      <c r="B3" s="2" t="n"/>
    </row>
    <row r="4">
      <c r="B4" s="2" t="n"/>
    </row>
    <row r="5" ht="25" customHeight="1" s="486">
      <c r="B5" s="483" t="inlineStr">
        <is>
          <t>Packing List</t>
        </is>
      </c>
    </row>
    <row r="6" ht="14" customHeight="1" s="486" thickBot="1">
      <c r="B6" s="3" t="n"/>
      <c r="C6" s="4" t="n"/>
      <c r="D6" s="4" t="n"/>
      <c r="E6" s="4" t="n"/>
      <c r="F6" s="4" t="n"/>
      <c r="G6" s="4" t="n"/>
      <c r="H6" s="4" t="n"/>
      <c r="I6" s="4" t="n"/>
      <c r="J6" s="4" t="n"/>
      <c r="K6" s="4" t="n"/>
      <c r="L6" s="4" t="n"/>
    </row>
    <row r="7">
      <c r="B7" s="136" t="n"/>
    </row>
    <row r="8" ht="16" customHeight="1" s="486">
      <c r="B8" s="473" t="n"/>
      <c r="C8" s="473" t="n"/>
      <c r="D8" s="473" t="n"/>
      <c r="E8" s="473" t="n"/>
      <c r="F8" s="473" t="n"/>
      <c r="G8" s="473" t="n"/>
      <c r="H8" s="473" t="inlineStr">
        <is>
          <t>Date:</t>
        </is>
      </c>
      <c r="I8" s="137">
        <f>TODAY()</f>
        <v/>
      </c>
      <c r="J8" s="473" t="inlineStr">
        <is>
          <t>Project #:</t>
        </is>
      </c>
      <c r="K8" s="488">
        <f>#REF!</f>
        <v/>
      </c>
    </row>
    <row r="9" ht="16" customHeight="1" s="486">
      <c r="B9" s="488" t="inlineStr">
        <is>
          <t>To:</t>
        </is>
      </c>
      <c r="C9" s="473">
        <f>#REF!</f>
        <v/>
      </c>
      <c r="H9" s="473" t="n"/>
      <c r="I9" s="473" t="n"/>
      <c r="J9" s="473" t="n"/>
    </row>
    <row r="10" ht="16" customHeight="1" s="486">
      <c r="B10" s="473" t="n"/>
      <c r="C10" s="473">
        <f>#REF!</f>
        <v/>
      </c>
      <c r="H10" s="473" t="inlineStr">
        <is>
          <t>Project Name:</t>
        </is>
      </c>
      <c r="I10" s="473">
        <f>#REF!</f>
        <v/>
      </c>
    </row>
    <row r="11" ht="16" customHeight="1" s="486">
      <c r="B11" s="473" t="n"/>
      <c r="C11" s="473" t="n"/>
      <c r="H11" s="473" t="inlineStr">
        <is>
          <t>Address:</t>
        </is>
      </c>
      <c r="I11" s="473">
        <f>#REF!</f>
        <v/>
      </c>
    </row>
    <row r="12" ht="16" customHeight="1" s="486">
      <c r="B12" s="473" t="n"/>
      <c r="C12" s="473" t="n"/>
      <c r="H12" s="473" t="n"/>
      <c r="I12" s="473" t="n"/>
      <c r="J12" s="473" t="n"/>
    </row>
    <row r="13" ht="16" customHeight="1" s="486">
      <c r="B13" s="473" t="inlineStr">
        <is>
          <t>Attention:</t>
        </is>
      </c>
      <c r="C13" s="473" t="n"/>
      <c r="D13" s="473">
        <f>#REF!</f>
        <v/>
      </c>
      <c r="E13" s="473" t="n"/>
      <c r="F13" s="473" t="n"/>
      <c r="G13" s="473" t="n"/>
      <c r="H13" s="473" t="n"/>
      <c r="I13" s="473" t="n"/>
      <c r="J13" s="473" t="n"/>
    </row>
    <row r="14" ht="16" customHeight="1" s="486">
      <c r="B14" s="473" t="n"/>
      <c r="C14" s="473" t="n"/>
      <c r="D14" s="473">
        <f>#REF!</f>
        <v/>
      </c>
      <c r="E14" s="473" t="n"/>
      <c r="F14" s="473" t="n"/>
      <c r="G14" s="473" t="n"/>
      <c r="H14" s="473" t="n"/>
      <c r="I14" s="473" t="n"/>
      <c r="J14" s="473" t="n"/>
      <c r="K14" s="473" t="n"/>
      <c r="L14" s="138" t="n"/>
    </row>
    <row r="15" ht="16" customHeight="1" s="486">
      <c r="B15" s="473" t="n"/>
      <c r="C15" s="473" t="n"/>
      <c r="D15" s="473" t="n"/>
      <c r="E15" s="473" t="n"/>
      <c r="F15" s="473" t="n"/>
      <c r="G15" s="473" t="n"/>
      <c r="H15" s="473" t="n"/>
      <c r="I15" s="473" t="n"/>
      <c r="J15" s="473" t="n"/>
      <c r="K15" s="473" t="n"/>
      <c r="L15" s="138" t="n"/>
    </row>
    <row r="16" ht="16" customHeight="1" s="486">
      <c r="B16" s="473" t="inlineStr">
        <is>
          <t>We are sending you</t>
        </is>
      </c>
      <c r="C16" s="473" t="n"/>
      <c r="D16" s="473" t="n"/>
      <c r="E16" s="473" t="n"/>
      <c r="F16" s="473" t="n"/>
      <c r="G16" s="473" t="n"/>
      <c r="H16" s="473" t="n"/>
      <c r="I16" s="473" t="n"/>
      <c r="J16" s="473" t="n"/>
      <c r="K16" s="473" t="n"/>
      <c r="L16" s="473" t="n"/>
    </row>
    <row r="17" ht="17" customHeight="1" s="486" thickBot="1">
      <c r="B17" s="473" t="n"/>
      <c r="C17" s="473" t="n"/>
      <c r="D17" s="473" t="n"/>
      <c r="E17" s="139" t="n"/>
      <c r="F17" s="473" t="n"/>
      <c r="G17" s="473" t="n"/>
      <c r="H17" s="473" t="n"/>
      <c r="I17" s="473" t="n"/>
      <c r="J17" s="473" t="n"/>
      <c r="K17" s="473" t="n"/>
      <c r="L17" s="473" t="n"/>
      <c r="M17" s="140" t="n"/>
    </row>
    <row r="18" ht="17" customHeight="1" s="486" thickBot="1">
      <c r="B18" s="159" t="n"/>
      <c r="C18" s="473" t="inlineStr">
        <is>
          <t>Shop Drawings</t>
        </is>
      </c>
      <c r="D18" s="473" t="n"/>
      <c r="E18" s="141" t="n"/>
      <c r="F18" s="473" t="inlineStr">
        <is>
          <t>Sky Floor™ unit</t>
        </is>
      </c>
      <c r="G18" s="473" t="n"/>
      <c r="H18" s="473" t="n"/>
      <c r="I18" s="473" t="n"/>
      <c r="J18" s="473" t="n"/>
      <c r="K18" s="473" t="n"/>
      <c r="L18" s="473" t="n"/>
    </row>
    <row r="19" ht="17" customHeight="1" s="486" thickBot="1">
      <c r="B19" s="142" t="n"/>
      <c r="C19" s="473" t="n"/>
      <c r="D19" s="473" t="n"/>
      <c r="E19" s="142" t="n"/>
      <c r="F19" s="473" t="n"/>
      <c r="G19" s="473" t="n"/>
      <c r="H19" s="473" t="n"/>
      <c r="I19" s="473" t="n"/>
      <c r="J19" s="473" t="n"/>
      <c r="K19" s="473" t="n"/>
      <c r="L19" s="473" t="n"/>
    </row>
    <row r="20" ht="17" customHeight="1" s="486" thickBot="1">
      <c r="B20" s="159" t="n"/>
      <c r="C20" s="473" t="inlineStr">
        <is>
          <t>Paint Sample</t>
        </is>
      </c>
      <c r="D20" s="473" t="n"/>
      <c r="E20" s="159" t="inlineStr">
        <is>
          <t>X</t>
        </is>
      </c>
      <c r="F20" s="473" t="inlineStr">
        <is>
          <t>Test Unit</t>
        </is>
      </c>
      <c r="G20" s="473" t="n"/>
      <c r="H20" s="473" t="n"/>
      <c r="I20" s="473" t="n"/>
      <c r="J20" s="473" t="n"/>
      <c r="K20" s="473" t="n"/>
      <c r="L20" s="473" t="n"/>
    </row>
    <row r="21" ht="17" customHeight="1" s="486" thickBot="1">
      <c r="B21" s="142" t="n"/>
      <c r="C21" s="473" t="n"/>
      <c r="D21" s="473" t="n"/>
      <c r="E21" s="142" t="n"/>
      <c r="F21" s="473" t="n"/>
      <c r="G21" s="473" t="n"/>
      <c r="H21" s="473" t="n"/>
      <c r="I21" s="473" t="n"/>
      <c r="J21" s="473" t="n"/>
      <c r="K21" s="473" t="n"/>
      <c r="L21" s="473" t="n"/>
    </row>
    <row r="22" ht="17" customHeight="1" s="486" thickBot="1">
      <c r="B22" s="159" t="n"/>
      <c r="C22" s="473" t="inlineStr">
        <is>
          <t>Glass Sample</t>
        </is>
      </c>
      <c r="D22" s="473" t="n"/>
      <c r="E22" s="159" t="n"/>
      <c r="F22" s="473" t="inlineStr">
        <is>
          <t>For Review</t>
        </is>
      </c>
      <c r="G22" s="473" t="n"/>
      <c r="H22" s="473" t="n"/>
      <c r="I22" s="473" t="n"/>
      <c r="J22" s="473" t="n"/>
      <c r="K22" s="473" t="n"/>
      <c r="L22" s="473" t="n"/>
    </row>
    <row r="23" ht="17" customHeight="1" s="486" thickBot="1">
      <c r="B23" s="142" t="n"/>
      <c r="C23" s="473" t="n"/>
      <c r="D23" s="473" t="n"/>
      <c r="E23" s="142" t="n"/>
      <c r="F23" s="473" t="n"/>
      <c r="G23" s="473" t="n"/>
      <c r="H23" s="473" t="n"/>
      <c r="I23" s="473" t="n"/>
      <c r="J23" s="473" t="n"/>
      <c r="K23" s="473" t="n"/>
      <c r="L23" s="473" t="n"/>
    </row>
    <row r="24" ht="17" customHeight="1" s="486" thickBot="1">
      <c r="B24" s="159" t="n"/>
      <c r="C24" s="473" t="inlineStr">
        <is>
          <t>Specifications</t>
        </is>
      </c>
      <c r="D24" s="473" t="n"/>
      <c r="E24" s="159" t="n"/>
      <c r="F24" s="473" t="inlineStr">
        <is>
          <t>For Approval</t>
        </is>
      </c>
      <c r="G24" s="473" t="n"/>
      <c r="H24" s="473" t="n"/>
      <c r="I24" s="473" t="n"/>
      <c r="J24" s="473" t="n"/>
      <c r="K24" s="473" t="n"/>
      <c r="L24" s="473" t="n"/>
    </row>
    <row r="25" ht="16" customHeight="1" s="486">
      <c r="B25" s="473" t="n"/>
      <c r="C25" s="473" t="n"/>
      <c r="D25" s="473" t="n"/>
      <c r="E25" s="142" t="n"/>
      <c r="F25" s="473" t="n"/>
      <c r="G25" s="473" t="n"/>
      <c r="H25" s="473" t="n"/>
      <c r="I25" s="473" t="n"/>
      <c r="J25" s="473" t="n"/>
      <c r="K25" s="473" t="n"/>
      <c r="L25" s="473" t="n"/>
    </row>
    <row r="26" ht="16" customHeight="1" s="486">
      <c r="B26" s="473" t="n"/>
      <c r="C26" s="473" t="n"/>
      <c r="D26" s="473" t="n"/>
      <c r="E26" s="473" t="n"/>
      <c r="F26" s="473" t="n"/>
      <c r="G26" s="473" t="n"/>
      <c r="H26" s="473" t="n"/>
      <c r="I26" s="473" t="n"/>
      <c r="J26" s="473" t="n"/>
      <c r="K26" s="473" t="n"/>
      <c r="L26" s="473" t="n"/>
    </row>
    <row r="27" ht="17" customHeight="1" s="486" thickBot="1">
      <c r="B27" s="473" t="n"/>
      <c r="C27" s="473" t="n"/>
      <c r="D27" s="473" t="n"/>
      <c r="E27" s="473" t="n"/>
      <c r="F27" s="473" t="n"/>
      <c r="G27" s="473" t="n"/>
      <c r="H27" s="473" t="n"/>
      <c r="I27" s="473" t="n"/>
      <c r="J27" s="473" t="n"/>
      <c r="K27" s="473" t="n"/>
      <c r="L27" s="473" t="n"/>
    </row>
    <row r="28" ht="26.25" customHeight="1" s="486" thickBot="1">
      <c r="B28" s="473" t="n"/>
      <c r="C28" s="143" t="inlineStr">
        <is>
          <t>Qty</t>
        </is>
      </c>
      <c r="D28" s="144" t="inlineStr">
        <is>
          <t>Date</t>
        </is>
      </c>
      <c r="E28" s="638" t="inlineStr">
        <is>
          <t>Paint Color</t>
        </is>
      </c>
      <c r="F28" s="639" t="n"/>
      <c r="G28" s="144" t="inlineStr">
        <is>
          <t>Revisions</t>
        </is>
      </c>
      <c r="H28" s="560" t="inlineStr">
        <is>
          <t>Description</t>
        </is>
      </c>
      <c r="I28" s="640" t="n"/>
      <c r="J28" s="640" t="n"/>
      <c r="K28" s="640" t="n"/>
      <c r="L28" s="641" t="n"/>
    </row>
    <row r="29" ht="16" customHeight="1" s="486">
      <c r="B29" s="473" t="n"/>
      <c r="C29" s="145" t="n"/>
      <c r="D29" s="468" t="n"/>
      <c r="E29" s="469" t="n"/>
      <c r="F29" s="620" t="n"/>
      <c r="G29" s="469" t="n"/>
      <c r="H29" s="564" t="n"/>
      <c r="I29" s="621" t="n"/>
      <c r="J29" s="621" t="n"/>
      <c r="K29" s="621" t="n"/>
      <c r="L29" s="642" t="n"/>
    </row>
    <row r="30" ht="16" customHeight="1" s="486">
      <c r="B30" s="473" t="n"/>
      <c r="C30" s="169" t="n"/>
      <c r="D30" s="471" t="n"/>
      <c r="E30" s="465" t="n"/>
      <c r="F30" s="433" t="n"/>
      <c r="G30" s="465" t="n"/>
      <c r="H30" s="552" t="n"/>
      <c r="I30" s="432" t="n"/>
      <c r="J30" s="432" t="n"/>
      <c r="K30" s="432" t="n"/>
      <c r="L30" s="643" t="n"/>
    </row>
    <row r="31" ht="16" customHeight="1" s="486">
      <c r="B31" s="473" t="n"/>
      <c r="C31" s="169" t="n"/>
      <c r="D31" s="471" t="n"/>
      <c r="E31" s="465" t="n"/>
      <c r="F31" s="433" t="n"/>
      <c r="G31" s="465" t="n"/>
      <c r="H31" s="552" t="n"/>
      <c r="I31" s="432" t="n"/>
      <c r="J31" s="432" t="n"/>
      <c r="K31" s="432" t="n"/>
      <c r="L31" s="643" t="n"/>
    </row>
    <row r="32" ht="16" customHeight="1" s="486">
      <c r="B32" s="473" t="n"/>
      <c r="C32" s="169" t="n"/>
      <c r="D32" s="465" t="n"/>
      <c r="E32" s="465" t="n"/>
      <c r="F32" s="433" t="n"/>
      <c r="G32" s="465" t="n"/>
      <c r="H32" s="552" t="n"/>
      <c r="I32" s="432" t="n"/>
      <c r="J32" s="432" t="n"/>
      <c r="K32" s="432" t="n"/>
      <c r="L32" s="643" t="n"/>
    </row>
    <row r="33" ht="16" customHeight="1" s="486">
      <c r="B33" s="473" t="n"/>
      <c r="C33" s="169" t="n"/>
      <c r="D33" s="471" t="n"/>
      <c r="E33" s="465" t="n"/>
      <c r="F33" s="433" t="n"/>
      <c r="G33" s="465" t="n"/>
      <c r="H33" s="552" t="n"/>
      <c r="I33" s="432" t="n"/>
      <c r="J33" s="432" t="n"/>
      <c r="K33" s="432" t="n"/>
      <c r="L33" s="643" t="n"/>
    </row>
    <row r="34" ht="16" customHeight="1" s="486">
      <c r="B34" s="473" t="n"/>
      <c r="C34" s="169" t="n"/>
      <c r="D34" s="465" t="n"/>
      <c r="E34" s="465" t="n"/>
      <c r="F34" s="433" t="n"/>
      <c r="G34" s="465" t="n"/>
      <c r="H34" s="552" t="n"/>
      <c r="I34" s="432" t="n"/>
      <c r="J34" s="432" t="n"/>
      <c r="K34" s="432" t="n"/>
      <c r="L34" s="643" t="n"/>
    </row>
    <row r="35" ht="16" customHeight="1" s="486">
      <c r="B35" s="473" t="n"/>
      <c r="C35" s="169" t="n"/>
      <c r="D35" s="471" t="n"/>
      <c r="E35" s="465" t="n"/>
      <c r="F35" s="433" t="n"/>
      <c r="G35" s="465" t="n"/>
      <c r="H35" s="552" t="n"/>
      <c r="I35" s="432" t="n"/>
      <c r="J35" s="432" t="n"/>
      <c r="K35" s="432" t="n"/>
      <c r="L35" s="643" t="n"/>
    </row>
    <row r="36" ht="16" customHeight="1" s="486">
      <c r="B36" s="473" t="n"/>
      <c r="C36" s="169" t="n"/>
      <c r="D36" s="465" t="n"/>
      <c r="E36" s="465" t="n"/>
      <c r="F36" s="433" t="n"/>
      <c r="G36" s="465" t="n"/>
      <c r="H36" s="552" t="n"/>
      <c r="I36" s="432" t="n"/>
      <c r="J36" s="432" t="n"/>
      <c r="K36" s="432" t="n"/>
      <c r="L36" s="643" t="n"/>
    </row>
    <row r="37" ht="16" customHeight="1" s="486">
      <c r="B37" s="473" t="n"/>
      <c r="C37" s="170" t="n"/>
      <c r="D37" s="171" t="n"/>
      <c r="E37" s="172" t="n"/>
      <c r="F37" s="573" t="n"/>
      <c r="G37" s="172" t="n"/>
      <c r="H37" s="556" t="n"/>
      <c r="I37" s="572" t="n"/>
      <c r="J37" s="572" t="n"/>
      <c r="K37" s="572" t="n"/>
      <c r="L37" s="644" t="n"/>
    </row>
    <row r="38" ht="16" customHeight="1" s="486">
      <c r="B38" s="473" t="n"/>
      <c r="C38" s="169" t="n"/>
      <c r="D38" s="471" t="n"/>
      <c r="E38" s="465" t="n"/>
      <c r="F38" s="433" t="n"/>
      <c r="G38" s="465" t="n"/>
      <c r="H38" s="552" t="n"/>
      <c r="I38" s="432" t="n"/>
      <c r="J38" s="432" t="n"/>
      <c r="K38" s="432" t="n"/>
      <c r="L38" s="643" t="n"/>
    </row>
    <row r="39" ht="16" customHeight="1" s="486">
      <c r="B39" s="473" t="n"/>
      <c r="C39" s="169" t="n"/>
      <c r="D39" s="465" t="n"/>
      <c r="E39" s="465" t="n"/>
      <c r="F39" s="433" t="n"/>
      <c r="G39" s="465" t="n"/>
      <c r="H39" s="552" t="n"/>
      <c r="I39" s="432" t="n"/>
      <c r="J39" s="432" t="n"/>
      <c r="K39" s="432" t="n"/>
      <c r="L39" s="643" t="n"/>
    </row>
    <row r="40" ht="16" customHeight="1" s="486">
      <c r="B40" s="473" t="n"/>
      <c r="C40" s="169" t="n"/>
      <c r="D40" s="471" t="n"/>
      <c r="E40" s="465" t="n"/>
      <c r="F40" s="433" t="n"/>
      <c r="G40" s="465" t="n"/>
      <c r="H40" s="552" t="n"/>
      <c r="I40" s="432" t="n"/>
      <c r="J40" s="432" t="n"/>
      <c r="K40" s="432" t="n"/>
      <c r="L40" s="643" t="n"/>
    </row>
    <row r="41" ht="16" customHeight="1" s="486">
      <c r="B41" s="473" t="n"/>
      <c r="C41" s="169" t="n"/>
      <c r="D41" s="465" t="n"/>
      <c r="E41" s="465" t="n"/>
      <c r="F41" s="433" t="n"/>
      <c r="G41" s="465" t="n"/>
      <c r="H41" s="552" t="n"/>
      <c r="I41" s="432" t="n"/>
      <c r="J41" s="432" t="n"/>
      <c r="K41" s="432" t="n"/>
      <c r="L41" s="643" t="n"/>
    </row>
    <row r="42" ht="16" customHeight="1" s="486">
      <c r="B42" s="473" t="n"/>
      <c r="C42" s="169" t="n"/>
      <c r="D42" s="471" t="n"/>
      <c r="E42" s="465" t="n"/>
      <c r="F42" s="433" t="n"/>
      <c r="G42" s="465" t="n"/>
      <c r="H42" s="552" t="n"/>
      <c r="I42" s="432" t="n"/>
      <c r="J42" s="432" t="n"/>
      <c r="K42" s="432" t="n"/>
      <c r="L42" s="643" t="n"/>
    </row>
    <row r="43" ht="16" customHeight="1" s="486">
      <c r="B43" s="473" t="n"/>
      <c r="C43" s="169" t="n"/>
      <c r="D43" s="471" t="n"/>
      <c r="E43" s="465" t="n"/>
      <c r="F43" s="433" t="n"/>
      <c r="G43" s="465" t="n"/>
      <c r="H43" s="552" t="n"/>
      <c r="I43" s="432" t="n"/>
      <c r="J43" s="432" t="n"/>
      <c r="K43" s="432" t="n"/>
      <c r="L43" s="643" t="n"/>
    </row>
    <row r="44" ht="16" customHeight="1" s="486">
      <c r="B44" s="473" t="n"/>
      <c r="C44" s="169" t="n"/>
      <c r="D44" s="465" t="n"/>
      <c r="E44" s="465" t="n"/>
      <c r="F44" s="433" t="n"/>
      <c r="G44" s="465" t="n"/>
      <c r="H44" s="552" t="n"/>
      <c r="I44" s="432" t="n"/>
      <c r="J44" s="432" t="n"/>
      <c r="K44" s="432" t="n"/>
      <c r="L44" s="643" t="n"/>
    </row>
    <row r="45" ht="16" customHeight="1" s="486">
      <c r="B45" s="473" t="n"/>
      <c r="C45" s="169" t="n"/>
      <c r="D45" s="471" t="n"/>
      <c r="E45" s="465" t="n"/>
      <c r="F45" s="433" t="n"/>
      <c r="G45" s="465" t="n"/>
      <c r="H45" s="552" t="n"/>
      <c r="I45" s="432" t="n"/>
      <c r="J45" s="432" t="n"/>
      <c r="K45" s="432" t="n"/>
      <c r="L45" s="643" t="n"/>
    </row>
    <row r="46" ht="16" customHeight="1" s="486">
      <c r="B46" s="473" t="n"/>
      <c r="C46" s="169" t="n"/>
      <c r="D46" s="465" t="n"/>
      <c r="E46" s="465" t="n"/>
      <c r="F46" s="433" t="n"/>
      <c r="G46" s="465" t="n"/>
      <c r="H46" s="552" t="n"/>
      <c r="I46" s="432" t="n"/>
      <c r="J46" s="432" t="n"/>
      <c r="K46" s="432" t="n"/>
      <c r="L46" s="643" t="n"/>
    </row>
    <row r="47" ht="16" customHeight="1" s="486">
      <c r="B47" s="473" t="n"/>
      <c r="C47" s="170" t="n"/>
      <c r="D47" s="171" t="n"/>
      <c r="E47" s="172" t="n"/>
      <c r="F47" s="573" t="n"/>
      <c r="G47" s="172" t="n"/>
      <c r="H47" s="556" t="n"/>
      <c r="I47" s="572" t="n"/>
      <c r="J47" s="572" t="n"/>
      <c r="K47" s="572" t="n"/>
      <c r="L47" s="644" t="n"/>
    </row>
    <row r="48" ht="16" customHeight="1" s="486">
      <c r="B48" s="473" t="n"/>
      <c r="C48" s="169" t="n"/>
      <c r="D48" s="471" t="n"/>
      <c r="E48" s="465" t="n"/>
      <c r="F48" s="433" t="n"/>
      <c r="G48" s="465" t="n"/>
      <c r="H48" s="552" t="n"/>
      <c r="I48" s="432" t="n"/>
      <c r="J48" s="432" t="n"/>
      <c r="K48" s="432" t="n"/>
      <c r="L48" s="643" t="n"/>
    </row>
    <row r="49" ht="16" customHeight="1" s="486">
      <c r="B49" s="473" t="n"/>
      <c r="C49" s="169" t="n"/>
      <c r="D49" s="465" t="n"/>
      <c r="E49" s="465" t="n"/>
      <c r="F49" s="433" t="n"/>
      <c r="G49" s="465" t="n"/>
      <c r="H49" s="552" t="n"/>
      <c r="I49" s="432" t="n"/>
      <c r="J49" s="432" t="n"/>
      <c r="K49" s="432" t="n"/>
      <c r="L49" s="643" t="n"/>
    </row>
    <row r="50" ht="16" customHeight="1" s="486">
      <c r="B50" s="473" t="n"/>
      <c r="C50" s="473" t="n"/>
      <c r="D50" s="473" t="n"/>
      <c r="E50" s="473" t="n"/>
      <c r="F50" s="473" t="n"/>
      <c r="G50" s="473" t="n"/>
      <c r="H50" s="473" t="n"/>
      <c r="I50" s="473" t="n"/>
      <c r="J50" s="473" t="n"/>
      <c r="K50" s="473" t="n"/>
      <c r="L50" s="473" t="n"/>
    </row>
    <row r="51" ht="16" customHeight="1" s="486">
      <c r="B51" s="473" t="n"/>
      <c r="C51" s="473" t="n"/>
      <c r="D51" s="473" t="n"/>
      <c r="E51" s="473" t="n"/>
      <c r="F51" s="473" t="n"/>
      <c r="G51" s="473" t="n"/>
      <c r="H51" s="473" t="n"/>
      <c r="I51" s="473" t="n"/>
      <c r="J51" s="473" t="n"/>
      <c r="K51" s="473" t="n"/>
      <c r="L51" s="473" t="n"/>
    </row>
    <row r="52" ht="16" customHeight="1" s="486">
      <c r="B52" s="473" t="n"/>
      <c r="C52" s="473" t="n"/>
      <c r="D52" s="473" t="n"/>
      <c r="E52" s="473" t="n"/>
      <c r="F52" s="473" t="n"/>
      <c r="G52" s="473" t="n"/>
      <c r="H52" s="473" t="n"/>
      <c r="I52" s="473" t="n"/>
      <c r="J52" s="473" t="n"/>
      <c r="K52" s="473" t="n"/>
      <c r="L52" s="473" t="n"/>
    </row>
    <row r="53" ht="16" customHeight="1" s="486">
      <c r="B53" s="473" t="n"/>
      <c r="C53" s="473" t="n"/>
      <c r="D53" s="473" t="n"/>
      <c r="E53" s="473" t="n"/>
      <c r="F53" s="473" t="n"/>
      <c r="G53" s="473" t="n"/>
      <c r="H53" s="473" t="n"/>
      <c r="I53" s="473" t="n"/>
      <c r="J53" s="473" t="n"/>
      <c r="K53" s="473" t="n"/>
      <c r="L53" s="473" t="n"/>
    </row>
    <row r="54" ht="12.75" customHeight="1" s="486">
      <c r="B54" s="473" t="n"/>
      <c r="C54" s="473" t="n"/>
      <c r="D54" s="473" t="n"/>
      <c r="E54" s="473" t="n"/>
      <c r="F54" s="473" t="n"/>
      <c r="G54" s="473" t="n"/>
      <c r="H54" s="473" t="n"/>
      <c r="I54" s="473" t="n"/>
      <c r="J54" s="473" t="n"/>
      <c r="K54" s="473" t="n"/>
      <c r="L54" s="473" t="n"/>
    </row>
    <row r="55" ht="16" customHeight="1" s="486">
      <c r="B55" s="473" t="n"/>
      <c r="C55" s="473" t="n"/>
      <c r="D55" s="473" t="n"/>
      <c r="E55" s="473" t="n"/>
      <c r="F55" s="473" t="n"/>
      <c r="G55" s="473" t="n"/>
      <c r="H55" s="473" t="n"/>
      <c r="I55" s="473" t="n"/>
      <c r="J55" s="473" t="n"/>
      <c r="K55" s="473" t="n"/>
      <c r="L55" s="473" t="n"/>
    </row>
    <row r="56" ht="16" customHeight="1" s="486">
      <c r="B56" s="488" t="inlineStr">
        <is>
          <t>Sent by:</t>
        </is>
      </c>
      <c r="C56" s="473" t="n"/>
      <c r="D56" s="473" t="inlineStr">
        <is>
          <t>Greg Muniz</t>
        </is>
      </c>
      <c r="E56" s="473" t="n"/>
      <c r="F56" s="473" t="n"/>
      <c r="G56" s="473" t="n"/>
      <c r="H56" s="473" t="n"/>
      <c r="I56" s="473" t="n"/>
      <c r="J56" s="473" t="n"/>
      <c r="K56" s="473" t="n"/>
      <c r="L56" s="473" t="n"/>
    </row>
    <row r="57" ht="16" customHeight="1" s="486">
      <c r="B57" s="488" t="n"/>
      <c r="C57" s="473" t="n"/>
      <c r="D57" s="473" t="n"/>
      <c r="E57" s="473" t="n"/>
      <c r="F57" s="473" t="n"/>
      <c r="G57" s="473" t="n"/>
      <c r="H57" s="473" t="n"/>
      <c r="I57" s="473" t="n"/>
      <c r="J57" s="473" t="n"/>
      <c r="K57" s="473" t="n"/>
      <c r="L57" s="473" t="n"/>
    </row>
    <row r="58" ht="16" customHeight="1" s="486">
      <c r="B58" s="488" t="n"/>
      <c r="C58" s="473" t="n"/>
      <c r="D58" s="473" t="n"/>
      <c r="H58" s="473" t="n"/>
      <c r="I58" s="473" t="n"/>
    </row>
    <row r="59" ht="16" customHeight="1" s="486">
      <c r="B59" s="473" t="n"/>
      <c r="C59" s="473" t="n"/>
      <c r="D59" s="473" t="n"/>
      <c r="H59" s="473" t="n"/>
      <c r="I59" s="473" t="n"/>
      <c r="J59" s="473" t="n"/>
      <c r="K59" s="473" t="n"/>
      <c r="L59" s="473" t="n"/>
    </row>
    <row r="60" ht="16" customHeight="1" s="486">
      <c r="B60" s="473" t="n"/>
      <c r="C60" s="473" t="n"/>
      <c r="D60" s="473" t="n"/>
      <c r="E60" s="473" t="n"/>
      <c r="F60" s="473" t="n"/>
      <c r="G60" s="473" t="n"/>
      <c r="H60" s="473" t="n"/>
      <c r="I60" s="473" t="n"/>
      <c r="J60" s="473" t="n"/>
      <c r="K60" s="473" t="n"/>
      <c r="L60" s="473" t="n"/>
    </row>
    <row r="61" ht="16" customHeight="1" s="486">
      <c r="B61" s="138" t="n"/>
      <c r="C61" s="473" t="n"/>
      <c r="D61" s="473" t="n"/>
      <c r="E61" s="473" t="n"/>
      <c r="F61" s="473" t="n"/>
      <c r="G61" s="473" t="n"/>
      <c r="H61" s="473" t="n"/>
      <c r="I61" s="473" t="n"/>
      <c r="J61" s="473" t="n"/>
      <c r="K61" s="473" t="n"/>
      <c r="L61" s="473" t="n"/>
    </row>
    <row r="62" ht="16" customHeight="1" s="486">
      <c r="B62" s="473" t="n"/>
      <c r="C62" s="473" t="n"/>
      <c r="D62" s="473" t="n"/>
      <c r="E62" s="473" t="n"/>
      <c r="F62" s="473" t="n"/>
      <c r="G62" s="473" t="n"/>
      <c r="H62" s="473" t="n"/>
      <c r="I62" s="473" t="n"/>
      <c r="J62" s="473" t="n"/>
      <c r="K62" s="473" t="n"/>
      <c r="L62" s="473" t="n"/>
    </row>
    <row r="63" ht="16" customHeight="1" s="486">
      <c r="B63" s="473" t="n"/>
      <c r="C63" s="473" t="n"/>
      <c r="D63" s="473" t="n"/>
      <c r="E63" s="473" t="n"/>
      <c r="F63" s="473" t="n"/>
      <c r="G63" s="473" t="n"/>
      <c r="H63" s="473" t="n"/>
      <c r="I63" s="473" t="n"/>
      <c r="J63" s="473" t="n"/>
      <c r="K63" s="473" t="n"/>
      <c r="L63" s="473" t="n"/>
    </row>
    <row r="64" ht="16" customHeight="1" s="486">
      <c r="B64" s="473" t="n"/>
      <c r="C64" s="473" t="n"/>
      <c r="D64" s="473" t="n"/>
      <c r="E64" s="473" t="n"/>
      <c r="F64" s="473" t="n"/>
      <c r="G64" s="473" t="n"/>
      <c r="H64" s="473" t="n"/>
      <c r="I64" s="473" t="n"/>
      <c r="J64" s="473" t="n"/>
      <c r="K64" s="473" t="n"/>
      <c r="L64" s="473" t="n"/>
    </row>
    <row r="65" ht="16" customHeight="1" s="486">
      <c r="B65" s="473" t="n"/>
      <c r="C65" s="473" t="n"/>
      <c r="D65" s="473" t="n"/>
      <c r="E65" s="473" t="n"/>
      <c r="F65" s="473" t="n"/>
      <c r="G65" s="473" t="n"/>
      <c r="H65" s="473" t="n"/>
      <c r="I65" s="473" t="n"/>
      <c r="J65" s="473" t="n"/>
      <c r="K65" s="473" t="n"/>
      <c r="L65" s="473" t="n"/>
    </row>
    <row r="66" ht="16" customHeight="1" s="486">
      <c r="B66" s="473" t="n"/>
      <c r="C66" s="473" t="n"/>
      <c r="D66" s="473" t="n"/>
      <c r="E66" s="473" t="n"/>
      <c r="F66" s="473" t="n"/>
      <c r="G66" s="473" t="n"/>
      <c r="H66" s="473" t="n"/>
      <c r="I66" s="473" t="n"/>
      <c r="J66" s="473" t="n"/>
      <c r="K66" s="473" t="n"/>
      <c r="L66" s="473" t="n"/>
    </row>
    <row r="67" ht="16" customHeight="1" s="486">
      <c r="B67" s="473" t="n"/>
      <c r="C67" s="473" t="n"/>
      <c r="D67" s="473" t="n"/>
      <c r="E67" s="473" t="n"/>
      <c r="F67" s="473" t="n"/>
      <c r="G67" s="473" t="n"/>
      <c r="H67" s="473" t="n"/>
      <c r="I67" s="473" t="n"/>
      <c r="J67" s="473" t="n"/>
      <c r="K67" s="473" t="n"/>
      <c r="L67" s="473" t="n"/>
    </row>
    <row r="68" ht="16" customHeight="1" s="486">
      <c r="B68" s="473" t="n"/>
      <c r="C68" s="473" t="n"/>
      <c r="D68" s="473" t="n"/>
      <c r="E68" s="473" t="n"/>
      <c r="F68" s="473" t="n"/>
      <c r="G68" s="473" t="n"/>
      <c r="H68" s="473" t="n"/>
      <c r="I68" s="473" t="n"/>
      <c r="J68" s="473" t="n"/>
      <c r="K68" s="473" t="n"/>
      <c r="L68" s="473" t="n"/>
    </row>
  </sheetData>
  <mergeCells count="60">
    <mergeCell ref="E43:F43"/>
    <mergeCell ref="H30:L30"/>
    <mergeCell ref="H35:L35"/>
    <mergeCell ref="H29:L29"/>
    <mergeCell ref="D58:G58"/>
    <mergeCell ref="H43:L43"/>
    <mergeCell ref="H38:L38"/>
    <mergeCell ref="E33:F33"/>
    <mergeCell ref="E42:F42"/>
    <mergeCell ref="H44:L44"/>
    <mergeCell ref="I10:L10"/>
    <mergeCell ref="H41:L41"/>
    <mergeCell ref="E48:F48"/>
    <mergeCell ref="E39:F39"/>
    <mergeCell ref="H31:L31"/>
    <mergeCell ref="E44:F44"/>
    <mergeCell ref="H40:L40"/>
    <mergeCell ref="H34:L34"/>
    <mergeCell ref="E35:F35"/>
    <mergeCell ref="A2:L2"/>
    <mergeCell ref="E38:F38"/>
    <mergeCell ref="H39:L39"/>
    <mergeCell ref="D59:G59"/>
    <mergeCell ref="E29:F29"/>
    <mergeCell ref="C10:G10"/>
    <mergeCell ref="H46:L46"/>
    <mergeCell ref="E28:F28"/>
    <mergeCell ref="H36:L36"/>
    <mergeCell ref="H49:L49"/>
    <mergeCell ref="J12:L12"/>
    <mergeCell ref="E40:F40"/>
    <mergeCell ref="I11:L11"/>
    <mergeCell ref="C9:G9"/>
    <mergeCell ref="E31:F31"/>
    <mergeCell ref="E34:F34"/>
    <mergeCell ref="E30:F30"/>
    <mergeCell ref="C12:G12"/>
    <mergeCell ref="H45:L45"/>
    <mergeCell ref="K8:L8"/>
    <mergeCell ref="E46:F46"/>
    <mergeCell ref="H32:L32"/>
    <mergeCell ref="C11:G11"/>
    <mergeCell ref="E49:F49"/>
    <mergeCell ref="E45:F45"/>
    <mergeCell ref="H28:L28"/>
    <mergeCell ref="E36:F36"/>
    <mergeCell ref="H37:L37"/>
    <mergeCell ref="H47:L47"/>
    <mergeCell ref="I58:L58"/>
    <mergeCell ref="E32:F32"/>
    <mergeCell ref="J13:L13"/>
    <mergeCell ref="E41:F41"/>
    <mergeCell ref="A1:L1"/>
    <mergeCell ref="H48:L48"/>
    <mergeCell ref="B5:L5"/>
    <mergeCell ref="H42:L42"/>
    <mergeCell ref="E37:F37"/>
    <mergeCell ref="H33:L33"/>
    <mergeCell ref="J9:L9"/>
    <mergeCell ref="E47:F47"/>
  </mergeCells>
  <pageMargins left="0.7" right="0.7" top="0.75" bottom="0.75" header="0.3" footer="0.3"/>
  <pageSetup orientation="portrait" horizontalDpi="0" verticalDpi="0"/>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3:N39"/>
  <sheetViews>
    <sheetView zoomScale="150" zoomScaleNormal="150" zoomScalePageLayoutView="150" workbookViewId="0">
      <selection activeCell="D21" sqref="D21"/>
    </sheetView>
  </sheetViews>
  <sheetFormatPr baseColWidth="10" defaultColWidth="11.5" defaultRowHeight="13"/>
  <cols>
    <col width="34.6640625" customWidth="1" style="486" min="2" max="2"/>
    <col width="11.5" customWidth="1" style="538" min="3" max="4"/>
  </cols>
  <sheetData>
    <row r="3">
      <c r="A3" t="inlineStr">
        <is>
          <t>Frame</t>
        </is>
      </c>
      <c r="D3" s="538" t="inlineStr">
        <is>
          <t>lb./ft.</t>
        </is>
      </c>
      <c r="E3" s="538" t="inlineStr">
        <is>
          <t>Unit 1</t>
        </is>
      </c>
      <c r="F3" s="538" t="inlineStr">
        <is>
          <t>Unit 2</t>
        </is>
      </c>
      <c r="G3" s="538" t="inlineStr">
        <is>
          <t>Unit 3</t>
        </is>
      </c>
      <c r="H3" s="538" t="inlineStr">
        <is>
          <t>Unit 4</t>
        </is>
      </c>
      <c r="I3" s="538" t="inlineStr">
        <is>
          <t>Unit 5</t>
        </is>
      </c>
      <c r="J3" s="538" t="inlineStr">
        <is>
          <t>Unit 6</t>
        </is>
      </c>
      <c r="K3" s="538" t="inlineStr">
        <is>
          <t>Unit 7</t>
        </is>
      </c>
      <c r="L3" s="538" t="inlineStr">
        <is>
          <t>Unit 8</t>
        </is>
      </c>
      <c r="M3" s="538" t="inlineStr">
        <is>
          <t>Unit 9</t>
        </is>
      </c>
      <c r="N3" s="538" t="inlineStr">
        <is>
          <t>Unit 10</t>
        </is>
      </c>
    </row>
    <row r="4">
      <c r="B4" t="inlineStr">
        <is>
          <t>Perimeter*</t>
        </is>
      </c>
    </row>
    <row r="5">
      <c r="B5" s="40" t="inlineStr">
        <is>
          <t>Pedestal perimeter thermally broken</t>
        </is>
      </c>
      <c r="C5" s="570" t="inlineStr">
        <is>
          <t>GFS-5</t>
        </is>
      </c>
      <c r="D5" s="538">
        <f>7.673+D25+D24</f>
        <v/>
      </c>
      <c r="E5" s="233">
        <f>'Pricing Worksheet'!E37*'Weights - Descriptions'!$D$5</f>
        <v/>
      </c>
      <c r="F5" s="233">
        <f>'Pricing Worksheet'!H$37*'Weights - Descriptions'!$D$5</f>
        <v/>
      </c>
      <c r="G5" s="233">
        <f>'Pricing Worksheet'!K$37*'Weights - Descriptions'!$D$5</f>
        <v/>
      </c>
      <c r="H5" s="233">
        <f>'Pricing Worksheet'!N$37*'Weights - Descriptions'!$D$5</f>
        <v/>
      </c>
      <c r="I5" s="233">
        <f>'Pricing Worksheet'!Q$37*'Weights - Descriptions'!$D$5</f>
        <v/>
      </c>
      <c r="J5" s="233">
        <f>'Pricing Worksheet'!T$37*'Weights - Descriptions'!$D$5</f>
        <v/>
      </c>
      <c r="K5" s="233">
        <f>'Pricing Worksheet'!W$37*'Weights - Descriptions'!$D$5</f>
        <v/>
      </c>
      <c r="L5" s="233">
        <f>'Pricing Worksheet'!Z$37*'Weights - Descriptions'!$D$5</f>
        <v/>
      </c>
      <c r="M5" s="233">
        <f>'Pricing Worksheet'!AC$37*'Weights - Descriptions'!$D$5</f>
        <v/>
      </c>
      <c r="N5" s="233">
        <f>'Pricing Worksheet'!AF$37*'Weights - Descriptions'!$D$5</f>
        <v/>
      </c>
    </row>
    <row r="6">
      <c r="B6" s="40" t="inlineStr">
        <is>
          <t>Recessed perimeter thermally broken</t>
        </is>
      </c>
      <c r="C6" s="570" t="inlineStr">
        <is>
          <t>GFS-6</t>
        </is>
      </c>
      <c r="D6" s="538">
        <f>8.524+D25+D24</f>
        <v/>
      </c>
      <c r="E6" s="233">
        <f>'Pricing Worksheet'!E38*'Weights - Descriptions'!$D$6</f>
        <v/>
      </c>
      <c r="F6" s="233">
        <f>'Pricing Worksheet'!H$38*'Weights - Descriptions'!$D$6</f>
        <v/>
      </c>
      <c r="G6" s="233">
        <f>'Pricing Worksheet'!K$38*'Weights - Descriptions'!$D$6</f>
        <v/>
      </c>
      <c r="H6" s="233">
        <f>'Pricing Worksheet'!N$38*'Weights - Descriptions'!$D$6</f>
        <v/>
      </c>
      <c r="I6" s="233">
        <f>'Pricing Worksheet'!Q$38*'Weights - Descriptions'!$D$6</f>
        <v/>
      </c>
      <c r="J6" s="233">
        <f>'Pricing Worksheet'!T$38*'Weights - Descriptions'!$D$6</f>
        <v/>
      </c>
      <c r="K6" s="233">
        <f>'Pricing Worksheet'!W$38*'Weights - Descriptions'!$D$6</f>
        <v/>
      </c>
      <c r="L6" s="233">
        <f>'Pricing Worksheet'!Z$38*'Weights - Descriptions'!$D$6</f>
        <v/>
      </c>
      <c r="M6" s="233">
        <f>'Pricing Worksheet'!AC$38*'Weights - Descriptions'!$D$6</f>
        <v/>
      </c>
      <c r="N6" s="233">
        <f>'Pricing Worksheet'!AF$38*'Weights - Descriptions'!$D$6</f>
        <v/>
      </c>
    </row>
    <row r="7">
      <c r="B7" s="232" t="inlineStr">
        <is>
          <t>Recessed Perimeter non thermally broken</t>
        </is>
      </c>
      <c r="C7" s="570" t="inlineStr">
        <is>
          <t>GFS-4</t>
        </is>
      </c>
      <c r="D7" s="538" t="n">
        <v>7.973</v>
      </c>
      <c r="E7" s="233">
        <f>'Pricing Worksheet'!E39*'Weights - Descriptions'!$D$7</f>
        <v/>
      </c>
      <c r="F7" s="233">
        <f>'Pricing Worksheet'!H$39*'Weights - Descriptions'!$D$7</f>
        <v/>
      </c>
      <c r="G7" s="233">
        <f>'Pricing Worksheet'!K$39*'Weights - Descriptions'!$D$7</f>
        <v/>
      </c>
      <c r="H7" s="233">
        <f>'Pricing Worksheet'!N$39*'Weights - Descriptions'!$D$7</f>
        <v/>
      </c>
      <c r="I7" s="233">
        <f>'Pricing Worksheet'!Q$39*'Weights - Descriptions'!$D$7</f>
        <v/>
      </c>
      <c r="J7" s="233">
        <f>'Pricing Worksheet'!T$39*'Weights - Descriptions'!$D$7</f>
        <v/>
      </c>
      <c r="K7" s="233">
        <f>'Pricing Worksheet'!W$39*'Weights - Descriptions'!$D$7</f>
        <v/>
      </c>
      <c r="L7" s="233">
        <f>'Pricing Worksheet'!Z$39*'Weights - Descriptions'!$D$7</f>
        <v/>
      </c>
      <c r="M7" s="233">
        <f>'Pricing Worksheet'!AC$39*'Weights - Descriptions'!$D$7</f>
        <v/>
      </c>
      <c r="N7" s="233">
        <f>'Pricing Worksheet'!AF$39*'Weights - Descriptions'!$D$7</f>
        <v/>
      </c>
    </row>
    <row r="8">
      <c r="B8" s="40" t="inlineStr">
        <is>
          <t>Deck perimeter</t>
        </is>
      </c>
      <c r="C8" s="570" t="inlineStr">
        <is>
          <t>GFS-13</t>
        </is>
      </c>
      <c r="D8" s="538" t="n">
        <v>10.297</v>
      </c>
      <c r="E8" s="233">
        <f>'Pricing Worksheet'!E$44*'Weights - Descriptions'!$D$8</f>
        <v/>
      </c>
      <c r="F8" s="233">
        <f>'Pricing Worksheet'!H$44*'Weights - Descriptions'!$D$8</f>
        <v/>
      </c>
      <c r="G8" s="233">
        <f>'Pricing Worksheet'!K$44*'Weights - Descriptions'!$D$8</f>
        <v/>
      </c>
      <c r="H8" s="233">
        <f>'Pricing Worksheet'!N$44*'Weights - Descriptions'!$D$8</f>
        <v/>
      </c>
      <c r="I8" s="233">
        <f>'Pricing Worksheet'!Q$44*'Weights - Descriptions'!$D$8</f>
        <v/>
      </c>
      <c r="J8" s="233">
        <f>'Pricing Worksheet'!T$44*'Weights - Descriptions'!$D$8</f>
        <v/>
      </c>
      <c r="K8" s="233">
        <f>'Pricing Worksheet'!W$44*'Weights - Descriptions'!$D$8</f>
        <v/>
      </c>
      <c r="L8" s="233">
        <f>'Pricing Worksheet'!Z$44*'Weights - Descriptions'!$D$8</f>
        <v/>
      </c>
      <c r="M8" s="233">
        <f>'Pricing Worksheet'!AC$44*'Weights - Descriptions'!$D$8</f>
        <v/>
      </c>
      <c r="N8" s="233">
        <f>'Pricing Worksheet'!AF$44*'Weights - Descriptions'!$D$8</f>
        <v/>
      </c>
    </row>
    <row r="9">
      <c r="B9" s="232" t="inlineStr">
        <is>
          <t>Series 2000 Pedestal</t>
        </is>
      </c>
      <c r="C9" s="570" t="inlineStr">
        <is>
          <t>GFS-15</t>
        </is>
      </c>
      <c r="D9" s="538" t="n">
        <v>5.785</v>
      </c>
      <c r="E9" s="233">
        <f>'Pricing Worksheet'!E$40*'Weights - Descriptions'!$D$9</f>
        <v/>
      </c>
      <c r="F9" s="233">
        <f>'Pricing Worksheet'!H$40*'Weights - Descriptions'!$D$9</f>
        <v/>
      </c>
      <c r="G9" s="233">
        <f>'Pricing Worksheet'!K$40*'Weights - Descriptions'!$D$9</f>
        <v/>
      </c>
      <c r="H9" s="233">
        <f>'Pricing Worksheet'!N$40*'Weights - Descriptions'!$D$9</f>
        <v/>
      </c>
      <c r="I9" s="233">
        <f>'Pricing Worksheet'!Q$40*'Weights - Descriptions'!$D$9</f>
        <v/>
      </c>
      <c r="J9" s="233">
        <f>'Pricing Worksheet'!T$40*'Weights - Descriptions'!$D$9</f>
        <v/>
      </c>
      <c r="K9" s="233">
        <f>'Pricing Worksheet'!W$40*'Weights - Descriptions'!$D$9</f>
        <v/>
      </c>
      <c r="L9" s="233">
        <f>'Pricing Worksheet'!Z$40*'Weights - Descriptions'!$D$9</f>
        <v/>
      </c>
      <c r="M9" s="233">
        <f>'Pricing Worksheet'!AC$40*'Weights - Descriptions'!$D$9</f>
        <v/>
      </c>
      <c r="N9" s="233">
        <f>'Pricing Worksheet'!AF$40*'Weights - Descriptions'!$D$9</f>
        <v/>
      </c>
    </row>
    <row r="10">
      <c r="B10" s="232" t="inlineStr">
        <is>
          <t>Series 2000 Recessed</t>
        </is>
      </c>
      <c r="C10" s="570" t="inlineStr">
        <is>
          <t>GFS-16</t>
        </is>
      </c>
      <c r="D10" s="538" t="n">
        <v>6.371</v>
      </c>
      <c r="E10" s="233">
        <f>'Pricing Worksheet'!E$41*'Weights - Descriptions'!$D$10</f>
        <v/>
      </c>
      <c r="F10" s="233">
        <f>'Pricing Worksheet'!H$41*'Weights - Descriptions'!$D$10</f>
        <v/>
      </c>
      <c r="G10" s="233">
        <f>'Pricing Worksheet'!K$41*'Weights - Descriptions'!$D$10</f>
        <v/>
      </c>
      <c r="H10" s="233">
        <f>'Pricing Worksheet'!N$41*'Weights - Descriptions'!$D$10</f>
        <v/>
      </c>
      <c r="I10" s="233">
        <f>'Pricing Worksheet'!Q$41*'Weights - Descriptions'!$D$10</f>
        <v/>
      </c>
      <c r="J10" s="233">
        <f>'Pricing Worksheet'!T$41*'Weights - Descriptions'!$D$10</f>
        <v/>
      </c>
      <c r="K10" s="233">
        <f>'Pricing Worksheet'!W$41*'Weights - Descriptions'!$D$10</f>
        <v/>
      </c>
      <c r="L10" s="233">
        <f>'Pricing Worksheet'!Z$41*'Weights - Descriptions'!$D$10</f>
        <v/>
      </c>
      <c r="M10" s="233">
        <f>'Pricing Worksheet'!AC$41*'Weights - Descriptions'!$D$10</f>
        <v/>
      </c>
      <c r="N10" s="233">
        <f>'Pricing Worksheet'!AF$41*'Weights - Descriptions'!$D$10</f>
        <v/>
      </c>
    </row>
    <row r="11">
      <c r="E11" s="41" t="n"/>
      <c r="F11" s="41" t="n"/>
      <c r="G11" s="41" t="n"/>
      <c r="H11" s="41" t="n"/>
    </row>
    <row r="12">
      <c r="B12" s="39" t="inlineStr">
        <is>
          <t>Rafters</t>
        </is>
      </c>
      <c r="E12" s="41" t="n"/>
      <c r="F12" s="41" t="n"/>
      <c r="G12" s="41" t="n"/>
      <c r="H12" s="41" t="n"/>
    </row>
    <row r="13">
      <c r="B13" s="40" t="inlineStr">
        <is>
          <t>T Rafter non-thermal</t>
        </is>
      </c>
      <c r="C13" s="570" t="inlineStr">
        <is>
          <t>GFS-1</t>
        </is>
      </c>
      <c r="D13" s="538" t="n">
        <v>6.77</v>
      </c>
      <c r="E13" s="233">
        <f>'Pricing Worksheet'!E53*'Weights - Descriptions'!$D$13</f>
        <v/>
      </c>
      <c r="F13" s="233">
        <f>'Pricing Worksheet'!H$53*'Weights - Descriptions'!$D$13</f>
        <v/>
      </c>
      <c r="G13" s="233">
        <f>'Pricing Worksheet'!K$53*'Weights - Descriptions'!$D$13</f>
        <v/>
      </c>
      <c r="H13" s="233">
        <f>'Pricing Worksheet'!N$53*'Weights - Descriptions'!$D$13</f>
        <v/>
      </c>
      <c r="I13" s="233">
        <f>'Pricing Worksheet'!Q$53*'Weights - Descriptions'!$D$13</f>
        <v/>
      </c>
      <c r="J13" s="233">
        <f>'Pricing Worksheet'!T$53*'Weights - Descriptions'!$D$13</f>
        <v/>
      </c>
      <c r="K13" s="233">
        <f>'Pricing Worksheet'!W$53*'Weights - Descriptions'!$D$13</f>
        <v/>
      </c>
      <c r="L13" s="233">
        <f>'Pricing Worksheet'!Z$53*'Weights - Descriptions'!$D$13</f>
        <v/>
      </c>
      <c r="M13" s="233">
        <f>'Pricing Worksheet'!AC$53*'Weights - Descriptions'!$D$13</f>
        <v/>
      </c>
      <c r="N13" s="233">
        <f>'Pricing Worksheet'!AF$53*'Weights - Descriptions'!$D$13</f>
        <v/>
      </c>
    </row>
    <row r="14">
      <c r="B14" s="40" t="inlineStr">
        <is>
          <t>I Rafter non-thermal</t>
        </is>
      </c>
      <c r="C14" s="570" t="inlineStr">
        <is>
          <t>GFS-7</t>
        </is>
      </c>
      <c r="D14" s="538" t="n">
        <v>9.625999999999999</v>
      </c>
      <c r="E14" s="233">
        <f>'Pricing Worksheet'!E54*'Weights - Descriptions'!$D$14</f>
        <v/>
      </c>
      <c r="F14" s="233">
        <f>'Pricing Worksheet'!H$54*'Weights - Descriptions'!$D$14</f>
        <v/>
      </c>
      <c r="G14" s="233">
        <f>'Pricing Worksheet'!K$54*'Weights - Descriptions'!$D$14</f>
        <v/>
      </c>
      <c r="H14" s="233">
        <f>'Pricing Worksheet'!N$54*'Weights - Descriptions'!$D$14</f>
        <v/>
      </c>
      <c r="I14" s="233">
        <f>'Pricing Worksheet'!Q$54*'Weights - Descriptions'!$D$14</f>
        <v/>
      </c>
      <c r="J14" s="233">
        <f>'Pricing Worksheet'!T$54*'Weights - Descriptions'!$D$14</f>
        <v/>
      </c>
      <c r="K14" s="233">
        <f>'Pricing Worksheet'!W$54*'Weights - Descriptions'!$D$14</f>
        <v/>
      </c>
      <c r="L14" s="233">
        <f>'Pricing Worksheet'!Z$54*'Weights - Descriptions'!$D$14</f>
        <v/>
      </c>
      <c r="M14" s="233">
        <f>'Pricing Worksheet'!AC$54*'Weights - Descriptions'!$D$14</f>
        <v/>
      </c>
      <c r="N14" s="233">
        <f>'Pricing Worksheet'!AF$54*'Weights - Descriptions'!$D$14</f>
        <v/>
      </c>
    </row>
    <row r="15">
      <c r="B15" s="40" t="inlineStr">
        <is>
          <t>T Rafter thermally Broken</t>
        </is>
      </c>
      <c r="D15" s="538">
        <f>D13+D25</f>
        <v/>
      </c>
      <c r="E15" s="233">
        <f>'Pricing Worksheet'!E51*'Weights - Descriptions'!$D$15</f>
        <v/>
      </c>
      <c r="F15" s="233">
        <f>'Pricing Worksheet'!H$51*'Weights - Descriptions'!$D$15</f>
        <v/>
      </c>
      <c r="G15" s="233">
        <f>'Pricing Worksheet'!K$51*'Weights - Descriptions'!$D$15</f>
        <v/>
      </c>
      <c r="H15" s="233">
        <f>'Pricing Worksheet'!N$51*'Weights - Descriptions'!$D$15</f>
        <v/>
      </c>
      <c r="I15" s="233">
        <f>'Pricing Worksheet'!Q$51*'Weights - Descriptions'!$D$15</f>
        <v/>
      </c>
      <c r="J15" s="233">
        <f>'Pricing Worksheet'!T$51*'Weights - Descriptions'!$D$15</f>
        <v/>
      </c>
      <c r="K15" s="233">
        <f>'Pricing Worksheet'!W$51*'Weights - Descriptions'!$D$15</f>
        <v/>
      </c>
      <c r="L15" s="233">
        <f>'Pricing Worksheet'!Z$51*'Weights - Descriptions'!$D$15</f>
        <v/>
      </c>
      <c r="M15" s="233">
        <f>'Pricing Worksheet'!AC$51*'Weights - Descriptions'!$D$15</f>
        <v/>
      </c>
      <c r="N15" s="233">
        <f>'Pricing Worksheet'!AF$51*'Weights - Descriptions'!$D$15</f>
        <v/>
      </c>
    </row>
    <row r="16">
      <c r="B16" s="40" t="inlineStr">
        <is>
          <t>I Rafter thermally broken</t>
        </is>
      </c>
      <c r="D16" s="538">
        <f>D14+D25</f>
        <v/>
      </c>
      <c r="E16" s="233">
        <f>'Pricing Worksheet'!E52*'Weights - Descriptions'!$D$16</f>
        <v/>
      </c>
      <c r="F16" s="233">
        <f>'Pricing Worksheet'!H$52*'Weights - Descriptions'!$D$16</f>
        <v/>
      </c>
      <c r="G16" s="233">
        <f>'Pricing Worksheet'!K$52*'Weights - Descriptions'!$D$16</f>
        <v/>
      </c>
      <c r="H16" s="233">
        <f>'Pricing Worksheet'!N$52*'Weights - Descriptions'!$D$16</f>
        <v/>
      </c>
      <c r="I16" s="233">
        <f>'Pricing Worksheet'!Q$52*'Weights - Descriptions'!$D$16</f>
        <v/>
      </c>
      <c r="J16" s="233">
        <f>'Pricing Worksheet'!T$52*'Weights - Descriptions'!$D$16</f>
        <v/>
      </c>
      <c r="K16" s="233">
        <f>'Pricing Worksheet'!W$52*'Weights - Descriptions'!$D$16</f>
        <v/>
      </c>
      <c r="L16" s="233">
        <f>'Pricing Worksheet'!Z$52*'Weights - Descriptions'!$D$16</f>
        <v/>
      </c>
      <c r="M16" s="233">
        <f>'Pricing Worksheet'!AC$52*'Weights - Descriptions'!$D$16</f>
        <v/>
      </c>
      <c r="N16" s="233">
        <f>'Pricing Worksheet'!AF$52*'Weights - Descriptions'!$D$16</f>
        <v/>
      </c>
    </row>
    <row r="17">
      <c r="B17" s="232" t="inlineStr">
        <is>
          <t>I Beam Series 2000</t>
        </is>
      </c>
      <c r="C17" s="570" t="inlineStr">
        <is>
          <t>GFS-17</t>
        </is>
      </c>
      <c r="D17" s="538" t="n">
        <v>9.289</v>
      </c>
      <c r="E17" s="233">
        <f>'Pricing Worksheet'!E$56*'Weights - Descriptions'!$D$17</f>
        <v/>
      </c>
      <c r="F17" s="233">
        <f>'Pricing Worksheet'!H$56*'Weights - Descriptions'!$D$17</f>
        <v/>
      </c>
      <c r="G17" s="233">
        <f>'Pricing Worksheet'!K$56*'Weights - Descriptions'!$D$17</f>
        <v/>
      </c>
      <c r="H17" s="233">
        <f>'Pricing Worksheet'!N$56*'Weights - Descriptions'!$D$17</f>
        <v/>
      </c>
      <c r="I17" s="233">
        <f>'Pricing Worksheet'!Q$56*'Weights - Descriptions'!$D$17</f>
        <v/>
      </c>
      <c r="J17" s="233">
        <f>'Pricing Worksheet'!T$56*'Weights - Descriptions'!$D$17</f>
        <v/>
      </c>
      <c r="K17" s="233">
        <f>'Pricing Worksheet'!W$56*'Weights - Descriptions'!$D$17</f>
        <v/>
      </c>
      <c r="L17" s="233">
        <f>'Pricing Worksheet'!Z$56*'Weights - Descriptions'!$D$17</f>
        <v/>
      </c>
      <c r="M17" s="233">
        <f>'Pricing Worksheet'!AC$56*'Weights - Descriptions'!$D$17</f>
        <v/>
      </c>
      <c r="N17" s="233">
        <f>'Pricing Worksheet'!AF$56*'Weights - Descriptions'!$D$17</f>
        <v/>
      </c>
    </row>
    <row r="18">
      <c r="B18" s="232" t="inlineStr">
        <is>
          <t>T Rafter Series 2000</t>
        </is>
      </c>
      <c r="E18" s="41" t="n"/>
      <c r="F18" s="41" t="n"/>
      <c r="G18" s="41" t="n"/>
      <c r="H18" s="41" t="n"/>
      <c r="I18" s="41" t="n"/>
      <c r="J18" s="41" t="n"/>
      <c r="K18" s="41" t="n"/>
      <c r="L18" s="41" t="n"/>
      <c r="M18" s="248" t="n"/>
      <c r="N18" s="248" t="n"/>
    </row>
    <row r="19">
      <c r="B19" s="40" t="n"/>
      <c r="E19" s="41" t="n"/>
      <c r="F19" s="41" t="n"/>
      <c r="G19" s="41" t="n"/>
      <c r="H19" s="41" t="n"/>
    </row>
    <row r="20">
      <c r="B20" s="39" t="inlineStr">
        <is>
          <t>Fasteners</t>
        </is>
      </c>
      <c r="D20" s="538" t="n">
        <v>0.21</v>
      </c>
      <c r="E20" s="41">
        <f>'Pricing Worksheet'!E61*'Weights - Descriptions'!$D$20</f>
        <v/>
      </c>
      <c r="F20" s="41">
        <f>'Pricing Worksheet'!H61*'Weights - Descriptions'!$D$20</f>
        <v/>
      </c>
      <c r="G20" s="41">
        <f>'Pricing Worksheet'!K61*'Weights - Descriptions'!$D$20</f>
        <v/>
      </c>
      <c r="H20" s="41">
        <f>'Pricing Worksheet'!N61*'Weights - Descriptions'!$D$20</f>
        <v/>
      </c>
      <c r="I20" s="41">
        <f>'Pricing Worksheet'!Q61*'Weights - Descriptions'!$D$20</f>
        <v/>
      </c>
      <c r="J20" s="41">
        <f>'Pricing Worksheet'!T61*'Weights - Descriptions'!$D$20</f>
        <v/>
      </c>
      <c r="K20" s="41">
        <f>'Pricing Worksheet'!W61*'Weights - Descriptions'!$D$20</f>
        <v/>
      </c>
      <c r="L20" s="41">
        <f>'Pricing Worksheet'!Z61*'Weights - Descriptions'!$D$20</f>
        <v/>
      </c>
      <c r="M20" s="41">
        <f>'Pricing Worksheet'!AC61*'Weights - Descriptions'!$D$20</f>
        <v/>
      </c>
      <c r="N20" s="41">
        <f>'Pricing Worksheet'!AF61*'Weights - Descriptions'!$D$20</f>
        <v/>
      </c>
    </row>
    <row r="21">
      <c r="B21" s="39" t="inlineStr">
        <is>
          <t>Brackets</t>
        </is>
      </c>
      <c r="D21" s="42" t="n">
        <v>0.25</v>
      </c>
      <c r="E21" s="41">
        <f>'Pricing Worksheet'!E60*'Weights - Descriptions'!$D$21</f>
        <v/>
      </c>
      <c r="F21" s="41">
        <f>'Pricing Worksheet'!H60*'Weights - Descriptions'!$D$21</f>
        <v/>
      </c>
      <c r="G21" s="41">
        <f>'Pricing Worksheet'!K60*'Weights - Descriptions'!$D$21</f>
        <v/>
      </c>
      <c r="H21" s="41">
        <f>'Pricing Worksheet'!N60*'Weights - Descriptions'!$D$21</f>
        <v/>
      </c>
      <c r="I21" s="41">
        <f>'Pricing Worksheet'!Q60*'Weights - Descriptions'!$D$21</f>
        <v/>
      </c>
      <c r="J21" s="41">
        <f>'Pricing Worksheet'!T60*'Weights - Descriptions'!$D$21</f>
        <v/>
      </c>
      <c r="K21" s="41">
        <f>'Pricing Worksheet'!W60*'Weights - Descriptions'!$D$21</f>
        <v/>
      </c>
      <c r="L21" s="41">
        <f>'Pricing Worksheet'!Z60*'Weights - Descriptions'!$D$21</f>
        <v/>
      </c>
      <c r="M21" s="41">
        <f>'Pricing Worksheet'!AC60*'Weights - Descriptions'!$D$21</f>
        <v/>
      </c>
      <c r="N21" s="41">
        <f>'Pricing Worksheet'!AF60*'Weights - Descriptions'!$D$21</f>
        <v/>
      </c>
    </row>
    <row r="22">
      <c r="B22" s="40" t="inlineStr">
        <is>
          <t>Totals</t>
        </is>
      </c>
      <c r="E22" s="41">
        <f>SUM(E5:E21)</f>
        <v/>
      </c>
      <c r="F22" s="41">
        <f>SUM(F5:F21)</f>
        <v/>
      </c>
      <c r="G22" s="41">
        <f>SUM(G5:G21)</f>
        <v/>
      </c>
      <c r="H22" s="41">
        <f>SUM(H5:H21)</f>
        <v/>
      </c>
      <c r="I22" s="41">
        <f>SUM(I5:I21)</f>
        <v/>
      </c>
      <c r="J22" s="41">
        <f>SUM(J5:J21)</f>
        <v/>
      </c>
      <c r="K22" s="41">
        <f>SUM(K5:K21)</f>
        <v/>
      </c>
      <c r="L22" s="41">
        <f>SUM(L5:L21)</f>
        <v/>
      </c>
      <c r="M22" s="41">
        <f>SUM(M5:M21)</f>
        <v/>
      </c>
      <c r="N22" s="41">
        <f>SUM(N5:N21)</f>
        <v/>
      </c>
    </row>
    <row r="23">
      <c r="E23" s="41" t="n"/>
      <c r="F23" s="41" t="n"/>
      <c r="G23" s="41" t="n"/>
      <c r="H23" s="41" t="n"/>
    </row>
    <row r="24">
      <c r="B24" s="39" t="inlineStr">
        <is>
          <t>*perimeter includes cap</t>
        </is>
      </c>
      <c r="D24" s="538" t="n">
        <v>0.394</v>
      </c>
      <c r="E24" s="41" t="n"/>
      <c r="F24" s="41" t="n"/>
      <c r="G24" s="41" t="n"/>
      <c r="H24" s="41" t="n"/>
    </row>
    <row r="25">
      <c r="B25" s="39" t="inlineStr">
        <is>
          <t>*thermally broken includes blocks</t>
        </is>
      </c>
      <c r="D25" s="538" t="n">
        <v>0.418</v>
      </c>
      <c r="E25" s="41" t="n"/>
      <c r="F25" s="41" t="n"/>
      <c r="G25" s="41" t="n"/>
      <c r="H25" s="41" t="n"/>
    </row>
    <row r="26">
      <c r="B26" s="39" t="inlineStr">
        <is>
          <t>2.0 Perimeter Gutter</t>
        </is>
      </c>
      <c r="C26" s="570" t="inlineStr">
        <is>
          <t>GFS-18</t>
        </is>
      </c>
      <c r="D26" s="538" t="n">
        <v>1.246</v>
      </c>
    </row>
    <row r="27">
      <c r="B27" s="39" t="inlineStr">
        <is>
          <t>Main Gutter</t>
        </is>
      </c>
      <c r="C27" s="570" t="inlineStr">
        <is>
          <t>GFS-20</t>
        </is>
      </c>
      <c r="D27" s="538" t="n">
        <v>0.638</v>
      </c>
    </row>
    <row r="28">
      <c r="B28" s="190" t="inlineStr">
        <is>
          <t>2" horizontal cap</t>
        </is>
      </c>
      <c r="C28" s="570" t="inlineStr">
        <is>
          <t>GFS-24</t>
        </is>
      </c>
      <c r="D28" s="538" t="n">
        <v>1.117</v>
      </c>
    </row>
    <row r="29">
      <c r="B29" s="190" t="inlineStr">
        <is>
          <t>3" Vertical cap</t>
        </is>
      </c>
      <c r="C29" s="570" t="inlineStr">
        <is>
          <t>GFS-25</t>
        </is>
      </c>
      <c r="D29" s="538" t="n">
        <v>1.164</v>
      </c>
    </row>
    <row r="30">
      <c r="B30" s="190" t="n"/>
      <c r="C30" s="570" t="n"/>
    </row>
    <row r="33">
      <c r="B33" s="565" t="inlineStr">
        <is>
          <t xml:space="preserve">SkyFloor™ thermally broken walkable skylight             </t>
        </is>
      </c>
      <c r="C33" s="99" t="n"/>
    </row>
    <row r="35">
      <c r="B35" s="45" t="inlineStr">
        <is>
          <t xml:space="preserve">Walkable glass flooring                                                     </t>
        </is>
      </c>
    </row>
    <row r="38">
      <c r="B38" t="inlineStr">
        <is>
          <t>Sales tax</t>
        </is>
      </c>
    </row>
    <row r="39">
      <c r="B39" t="inlineStr">
        <is>
          <t>Plus tax if applicable</t>
        </is>
      </c>
    </row>
  </sheetData>
  <mergeCells count="1">
    <mergeCell ref="B33:C33"/>
  </mergeCells>
  <pageMargins left="0.7" right="0.7" top="0.75" bottom="0.75" header="0.3" footer="0.3"/>
  <pageSetup orientation="portrait" horizontalDpi="0" verticalDpi="0"/>
</worksheet>
</file>

<file path=xl/worksheets/sheet11.xml><?xml version="1.0" encoding="utf-8"?>
<worksheet xmlns="http://schemas.openxmlformats.org/spreadsheetml/2006/main">
  <sheetPr>
    <outlinePr summaryBelow="1" summaryRight="1"/>
    <pageSetUpPr/>
  </sheetPr>
  <dimension ref="B3:D13"/>
  <sheetViews>
    <sheetView workbookViewId="0">
      <selection activeCell="C22" sqref="C22"/>
    </sheetView>
  </sheetViews>
  <sheetFormatPr baseColWidth="10" defaultColWidth="10.6640625" defaultRowHeight="13"/>
  <sheetData>
    <row r="3">
      <c r="B3" t="inlineStr">
        <is>
          <t>Railing Counts</t>
        </is>
      </c>
    </row>
    <row r="5">
      <c r="B5" s="538" t="inlineStr">
        <is>
          <t>Short</t>
        </is>
      </c>
      <c r="C5" s="538" t="inlineStr">
        <is>
          <t>Long</t>
        </is>
      </c>
      <c r="D5" s="538" t="inlineStr">
        <is>
          <t>Qty</t>
        </is>
      </c>
    </row>
    <row r="6">
      <c r="B6" s="538" t="n">
        <v>0</v>
      </c>
      <c r="C6" s="538" t="n">
        <v>1</v>
      </c>
      <c r="D6" s="41">
        <f>'Pricing Worksheet'!K113+2</f>
        <v/>
      </c>
    </row>
    <row r="7">
      <c r="B7" s="538" t="n">
        <v>0</v>
      </c>
      <c r="C7" s="538" t="n">
        <v>2</v>
      </c>
      <c r="D7" s="538">
        <f>'Pricing Worksheet'!K113*2+4</f>
        <v/>
      </c>
    </row>
    <row r="8">
      <c r="B8" s="538" t="n">
        <v>1</v>
      </c>
      <c r="C8" s="538" t="n">
        <v>0</v>
      </c>
      <c r="D8" s="538">
        <f>'Pricing Worksheet'!L113+2</f>
        <v/>
      </c>
    </row>
    <row r="9">
      <c r="B9" s="538" t="n">
        <v>1</v>
      </c>
      <c r="C9" s="538" t="n">
        <v>1</v>
      </c>
      <c r="D9" s="41">
        <f>'Pricing Worksheet'!K113+'Pricing Worksheet'!L113+3</f>
        <v/>
      </c>
    </row>
    <row r="10">
      <c r="B10" s="538" t="n">
        <v>1</v>
      </c>
      <c r="C10" s="538" t="n">
        <v>2</v>
      </c>
      <c r="D10" s="538">
        <f>'Pricing Worksheet'!K113*2+'Pricing Worksheet'!L113+4</f>
        <v/>
      </c>
    </row>
    <row r="11">
      <c r="B11" s="538" t="n">
        <v>2</v>
      </c>
      <c r="C11" s="538" t="n">
        <v>0</v>
      </c>
      <c r="D11" s="538">
        <f>'Pricing Worksheet'!L113*2+4</f>
        <v/>
      </c>
    </row>
    <row r="12">
      <c r="B12" s="538" t="n">
        <v>2</v>
      </c>
      <c r="C12" s="538" t="n">
        <v>1</v>
      </c>
      <c r="D12" s="538">
        <f>'Pricing Worksheet'!K113+'Pricing Worksheet'!L113*2+4</f>
        <v/>
      </c>
    </row>
    <row r="13">
      <c r="B13" s="538" t="n">
        <v>2</v>
      </c>
      <c r="C13" s="538" t="n">
        <v>2</v>
      </c>
      <c r="D13" s="538">
        <f>'Pricing Worksheet'!K113*2+'Pricing Worksheet'!L113*2+4</f>
        <v/>
      </c>
    </row>
  </sheetData>
  <pageMargins left="0.7" right="0.7" top="0.75" bottom="0.75" header="0.3" footer="0.3"/>
  <pageSetup orientation="portrait" horizontalDpi="0" verticalDpi="0"/>
</worksheet>
</file>

<file path=xl/worksheets/sheet12.xml><?xml version="1.0" encoding="utf-8"?>
<worksheet xmlns="http://schemas.openxmlformats.org/spreadsheetml/2006/main">
  <sheetPr>
    <outlinePr summaryBelow="1" summaryRight="1"/>
    <pageSetUpPr fitToPage="1"/>
  </sheetPr>
  <dimension ref="A2:M54"/>
  <sheetViews>
    <sheetView zoomScale="120" zoomScaleNormal="120" zoomScalePageLayoutView="175" workbookViewId="0">
      <selection activeCell="E37" sqref="E37"/>
    </sheetView>
  </sheetViews>
  <sheetFormatPr baseColWidth="10" defaultColWidth="11.5" defaultRowHeight="13"/>
  <cols>
    <col width="46.1640625" customWidth="1" style="486" min="2" max="2"/>
    <col width="13.5" bestFit="1" customWidth="1" style="486" min="3" max="3"/>
    <col width="12.1640625" customWidth="1" style="486" min="4" max="4"/>
    <col width="14.5" customWidth="1" style="486" min="5" max="5"/>
    <col width="11.83203125" customWidth="1" style="486" min="6" max="6"/>
    <col width="15.5" customWidth="1" style="486" min="7" max="7"/>
    <col width="14.1640625" customWidth="1" style="486" min="8" max="9"/>
  </cols>
  <sheetData>
    <row r="2">
      <c r="B2" s="569" t="inlineStr">
        <is>
          <t>PRICING UPDATED 5-13-22</t>
        </is>
      </c>
      <c r="E2" s="567" t="n"/>
    </row>
    <row r="3" ht="14" customHeight="1" s="486">
      <c r="J3" s="538" t="inlineStr">
        <is>
          <t>Paint Options</t>
        </is>
      </c>
    </row>
    <row r="4" ht="27" customHeight="1" s="486">
      <c r="D4" s="538" t="inlineStr">
        <is>
          <t>Weight lb./ft.</t>
        </is>
      </c>
      <c r="E4" s="538" t="inlineStr">
        <is>
          <t>Unit Price per lb.</t>
        </is>
      </c>
      <c r="F4" s="538" t="inlineStr">
        <is>
          <t>Cost per ft.</t>
        </is>
      </c>
      <c r="G4" s="538" t="inlineStr">
        <is>
          <t>Total Cost Per Ft</t>
        </is>
      </c>
      <c r="H4" s="151" t="n">
        <v>0.05</v>
      </c>
      <c r="I4" s="151" t="n">
        <v>0.1</v>
      </c>
      <c r="J4" s="568" t="inlineStr">
        <is>
          <t>Paint - non standard colors</t>
        </is>
      </c>
      <c r="K4" s="568" t="inlineStr">
        <is>
          <t>HPP - 50% Kynar</t>
        </is>
      </c>
      <c r="L4" s="568" t="inlineStr">
        <is>
          <t>HPP - 70% non Exotic</t>
        </is>
      </c>
      <c r="M4" s="568" t="inlineStr">
        <is>
          <t>Alodine</t>
        </is>
      </c>
    </row>
    <row r="5">
      <c r="D5" s="538" t="n"/>
      <c r="E5" s="538" t="n"/>
      <c r="F5" s="538" t="n"/>
      <c r="G5" s="538" t="n"/>
      <c r="H5" s="538" t="n"/>
      <c r="I5" s="538" t="n"/>
    </row>
    <row r="6">
      <c r="A6" t="inlineStr">
        <is>
          <t>GFS 9-1</t>
        </is>
      </c>
      <c r="B6" s="182" t="inlineStr">
        <is>
          <t>EconoFrame perimeter</t>
        </is>
      </c>
      <c r="C6" s="645" t="n"/>
      <c r="D6" s="538" t="n">
        <v>1.295</v>
      </c>
      <c r="E6" s="646" t="n">
        <v>3.6</v>
      </c>
      <c r="F6" s="647">
        <f>(D6*E6)+L6</f>
        <v/>
      </c>
      <c r="G6" s="647" t="n"/>
      <c r="H6" s="647" t="n"/>
      <c r="I6" s="647">
        <f>(F6*$I$4)+F6</f>
        <v/>
      </c>
      <c r="J6" t="n">
        <v>0.275</v>
      </c>
      <c r="K6" t="n">
        <v>0.61</v>
      </c>
      <c r="L6" t="n">
        <v>0.969</v>
      </c>
    </row>
    <row r="7">
      <c r="A7" t="inlineStr">
        <is>
          <t>GFS 11-1</t>
        </is>
      </c>
      <c r="B7" s="182" t="inlineStr">
        <is>
          <t>EconoFrame 2.5</t>
        </is>
      </c>
      <c r="C7" s="645" t="n"/>
      <c r="D7" s="538" t="n">
        <v>0.787</v>
      </c>
      <c r="E7" s="646" t="n">
        <v>3.6</v>
      </c>
      <c r="F7" s="647">
        <f>(D7*E7)+L7</f>
        <v/>
      </c>
      <c r="G7" s="538" t="n"/>
      <c r="H7" s="538" t="n"/>
      <c r="I7" s="647">
        <f>(F7*$I$4)+F7</f>
        <v/>
      </c>
      <c r="J7" t="n">
        <v>0.275</v>
      </c>
      <c r="K7" t="n">
        <v>0.402</v>
      </c>
      <c r="L7" t="n">
        <v>0.724</v>
      </c>
    </row>
    <row r="8">
      <c r="A8" t="inlineStr">
        <is>
          <t>GFS 10-1</t>
        </is>
      </c>
      <c r="B8" s="182" t="inlineStr">
        <is>
          <t>EconoFrame 3.0</t>
        </is>
      </c>
      <c r="C8" s="645" t="n"/>
      <c r="D8" s="538" t="n">
        <v>0.9370000000000001</v>
      </c>
      <c r="E8" s="646" t="n">
        <v>3.6</v>
      </c>
      <c r="F8" s="647">
        <f>(D8*E8)+L8</f>
        <v/>
      </c>
      <c r="G8" s="538" t="n"/>
      <c r="H8" s="538" t="n"/>
      <c r="I8" s="647">
        <f>(F8*$I$4)+F8</f>
        <v/>
      </c>
      <c r="J8" t="n">
        <v>0.275</v>
      </c>
      <c r="K8" t="n">
        <v>0.459</v>
      </c>
      <c r="L8" t="n">
        <v>0.724</v>
      </c>
    </row>
    <row r="9">
      <c r="C9" s="645" t="n"/>
      <c r="D9" s="538" t="n"/>
      <c r="E9" s="646" t="n"/>
      <c r="F9" s="538" t="n"/>
      <c r="G9" s="538" t="n"/>
      <c r="H9" s="538" t="n"/>
      <c r="I9" s="538" t="n"/>
    </row>
    <row r="10">
      <c r="A10" t="inlineStr">
        <is>
          <t>GFS1-1</t>
        </is>
      </c>
      <c r="B10" t="inlineStr">
        <is>
          <t>T Section NTB</t>
        </is>
      </c>
      <c r="C10" s="645" t="n"/>
      <c r="D10" s="538" t="n">
        <v>6.77</v>
      </c>
      <c r="E10" s="646" t="n">
        <v>3.6</v>
      </c>
      <c r="F10" s="648">
        <f>(D10*E10)+M10</f>
        <v/>
      </c>
      <c r="G10" s="648">
        <f>F10</f>
        <v/>
      </c>
      <c r="H10" s="647">
        <f>(G10*$H$4)+G10</f>
        <v/>
      </c>
      <c r="I10" s="647">
        <f>(G10*$I$4)+G10</f>
        <v/>
      </c>
      <c r="M10" t="n">
        <v>0.663</v>
      </c>
    </row>
    <row r="11">
      <c r="B11" t="inlineStr">
        <is>
          <t>T Section TB</t>
        </is>
      </c>
      <c r="C11" s="645" t="n"/>
      <c r="D11" s="538" t="n"/>
      <c r="E11" s="646" t="n">
        <v>3.6</v>
      </c>
      <c r="F11" s="647" t="n"/>
      <c r="G11" s="648">
        <f>F10+F18+M11</f>
        <v/>
      </c>
      <c r="H11" s="647">
        <f>(G11*$H$4)+G11</f>
        <v/>
      </c>
      <c r="I11" s="647">
        <f>(G11*$I$4)+G11</f>
        <v/>
      </c>
      <c r="M11" t="n">
        <v>0.663</v>
      </c>
    </row>
    <row r="12">
      <c r="A12" t="inlineStr">
        <is>
          <t>GFS 7-1</t>
        </is>
      </c>
      <c r="B12" t="inlineStr">
        <is>
          <t>I Beam NTB</t>
        </is>
      </c>
      <c r="C12" s="645" t="n"/>
      <c r="D12" s="538" t="n">
        <v>9.957000000000001</v>
      </c>
      <c r="E12" s="646" t="n">
        <v>3.6</v>
      </c>
      <c r="F12" s="649" t="n">
        <v>32.12</v>
      </c>
      <c r="G12" s="648">
        <f>F12</f>
        <v/>
      </c>
      <c r="H12" s="647">
        <f>(G12*$H$4)+G12</f>
        <v/>
      </c>
      <c r="I12" s="647">
        <f>(G12*$I$4)+G12</f>
        <v/>
      </c>
      <c r="M12" t="n">
        <v>0.797</v>
      </c>
    </row>
    <row r="13">
      <c r="B13" t="inlineStr">
        <is>
          <t>I Beam TB</t>
        </is>
      </c>
      <c r="C13" s="645" t="n"/>
      <c r="D13" s="538" t="n"/>
      <c r="E13" s="646" t="n"/>
      <c r="F13" s="647" t="n"/>
      <c r="G13" s="648">
        <f>F12+F18+M13</f>
        <v/>
      </c>
      <c r="H13" s="647">
        <f>(G13*$H$4)+G13</f>
        <v/>
      </c>
      <c r="I13" s="647">
        <f>(G13*$I$4)+G13</f>
        <v/>
      </c>
      <c r="M13" t="n">
        <v>0.797</v>
      </c>
    </row>
    <row r="14">
      <c r="A14" t="inlineStr">
        <is>
          <t>GFS 5-1</t>
        </is>
      </c>
      <c r="B14" t="inlineStr">
        <is>
          <t>Pedestal Perimeter TB</t>
        </is>
      </c>
      <c r="C14" s="645" t="n"/>
      <c r="D14" s="538" t="n">
        <v>7.673</v>
      </c>
      <c r="E14" s="646" t="n">
        <v>3.6</v>
      </c>
      <c r="F14" s="650" t="n">
        <v>28</v>
      </c>
      <c r="G14" s="647">
        <f>F14+F17+F19</f>
        <v/>
      </c>
      <c r="H14" s="647">
        <f>(G14*$H$4)+G14</f>
        <v/>
      </c>
      <c r="I14" s="647">
        <f>(G14*$I$4)+G14</f>
        <v/>
      </c>
    </row>
    <row r="15">
      <c r="A15" t="inlineStr">
        <is>
          <t>GFS 6-1</t>
        </is>
      </c>
      <c r="B15" t="inlineStr">
        <is>
          <t>Recessed Perimeter TB</t>
        </is>
      </c>
      <c r="C15" s="645" t="n"/>
      <c r="D15" s="538" t="n">
        <v>8.523999999999999</v>
      </c>
      <c r="E15" s="646" t="n">
        <v>3.6</v>
      </c>
      <c r="F15" s="649" t="n">
        <v>35.31</v>
      </c>
      <c r="G15" s="648">
        <f>F15+F17+F19+M15</f>
        <v/>
      </c>
      <c r="H15" s="647">
        <f>(G15*$H$4)+G15</f>
        <v/>
      </c>
      <c r="I15" s="647">
        <f>(G15*$I$4)+G15</f>
        <v/>
      </c>
      <c r="M15" t="n">
        <v>0.959</v>
      </c>
    </row>
    <row r="16">
      <c r="A16" t="inlineStr">
        <is>
          <t>GFS 4-1</t>
        </is>
      </c>
      <c r="B16" t="inlineStr">
        <is>
          <t>Recessed perimeter NTB</t>
        </is>
      </c>
      <c r="C16" s="645" t="n"/>
      <c r="D16" s="538" t="n">
        <v>8.050000000000001</v>
      </c>
      <c r="E16" s="646" t="n">
        <v>3.6</v>
      </c>
      <c r="F16" s="649" t="n">
        <v>29.5</v>
      </c>
      <c r="G16" s="648">
        <f>F16</f>
        <v/>
      </c>
      <c r="H16" s="647">
        <f>(G16*$H$4)+G16</f>
        <v/>
      </c>
      <c r="I16" s="647">
        <f>(G16*$I$4)+G16</f>
        <v/>
      </c>
      <c r="M16" t="n">
        <v>0.959</v>
      </c>
    </row>
    <row r="17">
      <c r="A17" t="inlineStr">
        <is>
          <t>GFS 3-1</t>
        </is>
      </c>
      <c r="B17" t="inlineStr">
        <is>
          <t>Adjustable cap</t>
        </is>
      </c>
      <c r="C17" s="645" t="n"/>
      <c r="D17" s="538" t="n">
        <v>0.394</v>
      </c>
      <c r="E17" s="646" t="n">
        <v>3.6</v>
      </c>
      <c r="F17" s="647">
        <f>D17*E17</f>
        <v/>
      </c>
      <c r="G17" s="538" t="n"/>
      <c r="H17" s="647">
        <f>(F17*$H$4)+F17</f>
        <v/>
      </c>
      <c r="I17" s="647">
        <f>(F17*$I$4)+F17</f>
        <v/>
      </c>
    </row>
    <row r="18">
      <c r="A18" t="inlineStr">
        <is>
          <t>GFS 2-1</t>
        </is>
      </c>
      <c r="B18" t="inlineStr">
        <is>
          <t>Snap in block</t>
        </is>
      </c>
      <c r="C18" s="645" t="n"/>
      <c r="D18" s="538" t="n">
        <v>0.418</v>
      </c>
      <c r="E18" s="646" t="n">
        <v>3.6</v>
      </c>
      <c r="F18" s="647">
        <f>D18*E18</f>
        <v/>
      </c>
      <c r="G18" s="538" t="n"/>
      <c r="H18" s="647">
        <f>(F18*$H$4)+F18</f>
        <v/>
      </c>
      <c r="I18" s="647">
        <f>(F18*$I$4)+F18</f>
        <v/>
      </c>
    </row>
    <row r="19">
      <c r="A19" t="inlineStr">
        <is>
          <t>GFS 8-1</t>
        </is>
      </c>
      <c r="B19" t="inlineStr">
        <is>
          <t>Perimeter snap in</t>
        </is>
      </c>
      <c r="C19" s="645" t="n"/>
      <c r="D19" s="538" t="n">
        <v>0.49</v>
      </c>
      <c r="E19" s="646" t="n">
        <v>3.6</v>
      </c>
      <c r="F19" s="647">
        <f>D19*E19</f>
        <v/>
      </c>
      <c r="G19" s="538" t="n"/>
      <c r="H19" s="647">
        <f>(F19*$H$4)+F19</f>
        <v/>
      </c>
      <c r="I19" s="647">
        <f>(F19*$I$4)+F19</f>
        <v/>
      </c>
    </row>
    <row r="20">
      <c r="A20" t="inlineStr">
        <is>
          <t>GFS 13-1</t>
        </is>
      </c>
      <c r="B20" t="inlineStr">
        <is>
          <t>Deck perimeter</t>
        </is>
      </c>
      <c r="C20" s="645" t="n"/>
      <c r="D20" s="538" t="n">
        <v>10.297</v>
      </c>
      <c r="E20" s="646" t="n">
        <v>3.6</v>
      </c>
      <c r="F20" s="649" t="n">
        <v>38.5</v>
      </c>
      <c r="G20" s="647">
        <f>F20</f>
        <v/>
      </c>
      <c r="H20" s="647">
        <f>(G20*$H$4)+G20</f>
        <v/>
      </c>
      <c r="I20" s="647">
        <f>(F20*$I$4)+F20</f>
        <v/>
      </c>
    </row>
    <row r="21">
      <c r="A21" t="inlineStr">
        <is>
          <t>GFS 14</t>
        </is>
      </c>
      <c r="B21" t="inlineStr">
        <is>
          <t>Adjustable cap with flange</t>
        </is>
      </c>
      <c r="C21" s="645" t="n"/>
      <c r="D21" s="538" t="n"/>
      <c r="E21" s="646" t="n">
        <v>3.6</v>
      </c>
      <c r="F21" s="538" t="n"/>
      <c r="G21" s="538" t="n"/>
      <c r="H21" s="538" t="n"/>
      <c r="I21" s="538" t="n"/>
    </row>
    <row r="22">
      <c r="A22" t="inlineStr">
        <is>
          <t>GFS 15</t>
        </is>
      </c>
      <c r="B22" s="182" t="inlineStr">
        <is>
          <t>2000 Series pedestal leg</t>
        </is>
      </c>
      <c r="C22" s="645" t="n"/>
      <c r="D22" s="538" t="n">
        <v>5.785</v>
      </c>
      <c r="E22" s="646" t="n">
        <v>3.6</v>
      </c>
      <c r="F22" s="647">
        <f>E22*D22</f>
        <v/>
      </c>
      <c r="H22" s="647">
        <f>(F22*$H$4)+F22</f>
        <v/>
      </c>
      <c r="I22" s="647">
        <f>(F22*$I$4)+F22</f>
        <v/>
      </c>
    </row>
    <row r="23">
      <c r="A23" t="inlineStr">
        <is>
          <t>GFS 16</t>
        </is>
      </c>
      <c r="B23" s="182" t="inlineStr">
        <is>
          <t>2000 Series recessed leg</t>
        </is>
      </c>
      <c r="C23" s="645" t="n"/>
      <c r="D23" s="538" t="n">
        <v>6.371</v>
      </c>
      <c r="E23" s="646" t="n">
        <v>3.6</v>
      </c>
      <c r="F23" s="649" t="n">
        <v>24.65</v>
      </c>
      <c r="H23" s="647">
        <f>(F23*$H$4)+F23</f>
        <v/>
      </c>
      <c r="I23" s="647">
        <f>(F23*$I$4)+F23</f>
        <v/>
      </c>
    </row>
    <row r="24">
      <c r="A24" t="inlineStr">
        <is>
          <t>GFS 17</t>
        </is>
      </c>
      <c r="B24" s="182" t="inlineStr">
        <is>
          <t>2000 Series I beam</t>
        </is>
      </c>
      <c r="C24" s="645" t="n"/>
      <c r="D24" s="538" t="n">
        <v>9.289</v>
      </c>
      <c r="E24" s="646" t="n">
        <v>3.6</v>
      </c>
      <c r="F24" s="649" t="n">
        <v>34.33</v>
      </c>
      <c r="H24" s="647">
        <f>(F24*$H$4)+F24</f>
        <v/>
      </c>
      <c r="I24" s="647">
        <f>(F24*$I$4)+F24</f>
        <v/>
      </c>
    </row>
    <row r="25">
      <c r="A25" t="inlineStr">
        <is>
          <t>GFS 18</t>
        </is>
      </c>
      <c r="B25" s="182" t="inlineStr">
        <is>
          <t>2000 Series perimeter gutter</t>
        </is>
      </c>
      <c r="C25" s="645" t="n"/>
      <c r="D25" s="538" t="n">
        <v>1.246</v>
      </c>
      <c r="E25" s="646" t="n">
        <v>3.6</v>
      </c>
      <c r="F25" s="647">
        <f>E25*D25</f>
        <v/>
      </c>
      <c r="H25" s="647">
        <f>(F25*$H$4)+F25</f>
        <v/>
      </c>
      <c r="I25" s="647">
        <f>(F25*$I$4)+F25</f>
        <v/>
      </c>
    </row>
    <row r="26">
      <c r="A26" t="inlineStr">
        <is>
          <t>GFS 19</t>
        </is>
      </c>
      <c r="C26" s="645" t="n"/>
      <c r="D26" s="538" t="n"/>
      <c r="E26" s="646" t="n"/>
      <c r="F26" s="647" t="n"/>
      <c r="H26" s="647" t="n"/>
    </row>
    <row r="27">
      <c r="A27" t="inlineStr">
        <is>
          <t>GFS 20</t>
        </is>
      </c>
      <c r="B27" s="182" t="inlineStr">
        <is>
          <t>2000 Series snap in - main gutter</t>
        </is>
      </c>
      <c r="C27" s="645" t="n"/>
      <c r="D27" s="538" t="n">
        <v>0.638</v>
      </c>
      <c r="E27" s="646" t="n">
        <v>3.6</v>
      </c>
      <c r="F27" s="647">
        <f>E27*D27</f>
        <v/>
      </c>
      <c r="H27" s="647">
        <f>(F27*$H$4)+F27</f>
        <v/>
      </c>
      <c r="I27" s="647">
        <f>(F27*$I$4)+F27</f>
        <v/>
      </c>
    </row>
    <row r="28">
      <c r="A28" t="inlineStr">
        <is>
          <t>GFS 21</t>
        </is>
      </c>
      <c r="B28" s="182" t="inlineStr">
        <is>
          <t>2000 Series sanp in - secondary gutter</t>
        </is>
      </c>
      <c r="C28" s="645" t="n"/>
      <c r="D28" s="538" t="n">
        <v>0.673</v>
      </c>
      <c r="E28" s="646" t="n">
        <v>3.6</v>
      </c>
      <c r="F28" s="647">
        <f>E28*D28</f>
        <v/>
      </c>
      <c r="H28" s="647">
        <f>(F28*$H$4)+F28</f>
        <v/>
      </c>
      <c r="I28" s="647">
        <f>(F28*$I$4)+F28</f>
        <v/>
      </c>
    </row>
    <row r="29">
      <c r="A29" t="inlineStr">
        <is>
          <t>GFS 22</t>
        </is>
      </c>
      <c r="B29" s="182" t="inlineStr">
        <is>
          <t>2000 Sereis seam stop</t>
        </is>
      </c>
      <c r="C29" s="645" t="n"/>
      <c r="D29" s="538" t="n">
        <v>0.179</v>
      </c>
      <c r="E29" s="646" t="n">
        <v>3.6</v>
      </c>
      <c r="F29" s="647">
        <f>E29*D29</f>
        <v/>
      </c>
      <c r="H29" s="647">
        <f>(F29*$H$4)+F29</f>
        <v/>
      </c>
      <c r="I29" s="647">
        <f>(F29*$I$4)+F29</f>
        <v/>
      </c>
    </row>
    <row r="30">
      <c r="A30" t="inlineStr">
        <is>
          <t>GFS 23</t>
        </is>
      </c>
      <c r="B30" s="182" t="inlineStr">
        <is>
          <t>2000 Series cap with extension</t>
        </is>
      </c>
      <c r="C30" s="645" t="n"/>
      <c r="D30" s="538" t="n">
        <v>0.469</v>
      </c>
      <c r="E30" s="646" t="n">
        <v>3.6</v>
      </c>
      <c r="F30" s="647">
        <f>E30*D30</f>
        <v/>
      </c>
      <c r="H30" s="647">
        <f>(F30*$H$4)+F30</f>
        <v/>
      </c>
      <c r="I30" s="647">
        <f>(F30*$I$4)+F30</f>
        <v/>
      </c>
    </row>
    <row r="31">
      <c r="A31" t="inlineStr">
        <is>
          <t>GFS24</t>
        </is>
      </c>
      <c r="B31" s="182" t="inlineStr">
        <is>
          <t>Adjustable cap with 2" horizontal extension</t>
        </is>
      </c>
      <c r="C31" s="645" t="n"/>
      <c r="D31" s="538" t="n">
        <v>1.117</v>
      </c>
      <c r="E31" s="646" t="n">
        <v>3.6</v>
      </c>
      <c r="F31" s="647">
        <f>E31*D31</f>
        <v/>
      </c>
      <c r="H31" s="647">
        <f>(F31*$H$4)+F31</f>
        <v/>
      </c>
      <c r="I31" s="647">
        <f>(F31*$I$4)+F31</f>
        <v/>
      </c>
    </row>
    <row r="32">
      <c r="A32" t="inlineStr">
        <is>
          <t>GFS25</t>
        </is>
      </c>
      <c r="B32" s="182" t="inlineStr">
        <is>
          <t>Adjustable cap with 3" vertical extension</t>
        </is>
      </c>
      <c r="C32" s="645" t="n"/>
      <c r="D32" s="538" t="n">
        <v>1.164</v>
      </c>
      <c r="E32" s="646" t="n">
        <v>3.6</v>
      </c>
      <c r="F32" s="647">
        <f>E32*D32</f>
        <v/>
      </c>
      <c r="H32" s="647">
        <f>(F32*$H$4)+F32</f>
        <v/>
      </c>
      <c r="I32" s="647">
        <f>(F32*$I$4)+F32</f>
        <v/>
      </c>
    </row>
    <row r="33">
      <c r="D33" s="538" t="n"/>
      <c r="E33" s="651" t="n"/>
      <c r="F33" s="647" t="n"/>
      <c r="H33" s="647" t="n"/>
    </row>
    <row r="34">
      <c r="A34" t="inlineStr">
        <is>
          <t>GFS33</t>
        </is>
      </c>
      <c r="B34" t="inlineStr">
        <is>
          <t>Series 3000 top</t>
        </is>
      </c>
      <c r="D34" s="538" t="n">
        <v>1.847</v>
      </c>
      <c r="E34" s="651" t="n">
        <v>2.695</v>
      </c>
      <c r="F34" s="647">
        <f>E34*D34</f>
        <v/>
      </c>
      <c r="G34" s="645">
        <f>F34+L34</f>
        <v/>
      </c>
      <c r="H34" s="647" t="n"/>
      <c r="L34" t="n">
        <v>2.372</v>
      </c>
    </row>
    <row r="35">
      <c r="A35" t="inlineStr">
        <is>
          <t>GFS34</t>
        </is>
      </c>
      <c r="B35" t="inlineStr">
        <is>
          <t>Series 3000 base</t>
        </is>
      </c>
      <c r="D35" s="538" t="n">
        <v>1.248</v>
      </c>
      <c r="E35" s="651" t="n">
        <v>2.735</v>
      </c>
      <c r="F35" s="647">
        <f>E35*D35</f>
        <v/>
      </c>
      <c r="G35" s="645">
        <f>F35+L35</f>
        <v/>
      </c>
      <c r="H35" s="647" t="n"/>
      <c r="L35" t="n">
        <v>1.06</v>
      </c>
    </row>
    <row r="36">
      <c r="A36" t="inlineStr">
        <is>
          <t>GFS35</t>
        </is>
      </c>
      <c r="B36" t="inlineStr">
        <is>
          <t>Series 3000 hollow tube</t>
        </is>
      </c>
      <c r="D36" s="538" t="n">
        <v>0.355</v>
      </c>
      <c r="E36" s="651" t="n">
        <v>2.775</v>
      </c>
      <c r="F36" s="647">
        <f>E36*D36</f>
        <v/>
      </c>
      <c r="G36" s="645">
        <f>F36+L36</f>
        <v/>
      </c>
      <c r="H36" s="647" t="n"/>
      <c r="L36" t="n">
        <v>0.9350000000000001</v>
      </c>
    </row>
    <row r="37">
      <c r="A37" t="inlineStr">
        <is>
          <t>GFS36</t>
        </is>
      </c>
      <c r="B37" t="inlineStr">
        <is>
          <t>Series 3000 Screw Cover</t>
        </is>
      </c>
      <c r="D37" s="538" t="n"/>
      <c r="E37" s="651" t="n"/>
      <c r="F37" s="647" t="n"/>
      <c r="G37" s="652" t="n">
        <v>1</v>
      </c>
      <c r="H37" s="647" t="n"/>
    </row>
    <row r="38">
      <c r="B38" t="inlineStr">
        <is>
          <t>Ensinger</t>
        </is>
      </c>
      <c r="D38" s="538" t="n"/>
      <c r="E38" s="651" t="n"/>
      <c r="F38" s="647" t="n"/>
      <c r="G38" s="652" t="n">
        <v>2.25</v>
      </c>
      <c r="H38" s="647" t="n"/>
    </row>
    <row r="39">
      <c r="B39" s="512" t="inlineStr">
        <is>
          <t xml:space="preserve"> Total with ensinger and paint</t>
        </is>
      </c>
      <c r="D39" s="538" t="n"/>
      <c r="E39" s="651" t="n"/>
      <c r="F39" s="647" t="n"/>
      <c r="G39" s="653">
        <f>SUM(G34:G38)</f>
        <v/>
      </c>
      <c r="H39" s="647" t="n"/>
    </row>
    <row r="40">
      <c r="D40" s="538" t="n"/>
      <c r="E40" s="651" t="n"/>
      <c r="F40" s="647" t="n"/>
      <c r="H40" s="647" t="n"/>
    </row>
    <row r="41">
      <c r="B41" s="182" t="inlineStr">
        <is>
          <t>Ensinger Thermal break</t>
        </is>
      </c>
      <c r="D41" s="538" t="n"/>
      <c r="E41" s="651" t="n"/>
      <c r="F41" t="n">
        <v>1.75</v>
      </c>
      <c r="G41" s="647" t="n">
        <v>5</v>
      </c>
      <c r="H41" s="647">
        <f>(G41*$H$4)+G41</f>
        <v/>
      </c>
    </row>
    <row r="42">
      <c r="B42" s="182" t="n"/>
      <c r="D42" s="538" t="n"/>
      <c r="E42" s="651" t="n"/>
      <c r="G42" s="647" t="n"/>
      <c r="H42" s="647" t="n"/>
    </row>
    <row r="43">
      <c r="B43" s="182" t="inlineStr">
        <is>
          <t>Perimeter gasket - SB1</t>
        </is>
      </c>
      <c r="D43" s="538" t="n"/>
      <c r="E43" s="651" t="n"/>
      <c r="G43" s="647" t="n">
        <v>1.56</v>
      </c>
      <c r="H43" s="647">
        <f>(G43*$H$4)+G43</f>
        <v/>
      </c>
      <c r="I43" s="647">
        <f>(G43*$I$4)+G43</f>
        <v/>
      </c>
    </row>
    <row r="44">
      <c r="B44" s="182" t="inlineStr">
        <is>
          <t>Cross beam gasket - SB2</t>
        </is>
      </c>
      <c r="D44" s="538" t="n"/>
      <c r="E44" s="651" t="n"/>
      <c r="G44" s="654" t="n">
        <v>1.35</v>
      </c>
      <c r="H44" s="647">
        <f>(G44*$H$4)+G44</f>
        <v/>
      </c>
      <c r="I44" s="647">
        <f>(G44*$I$4)+G44</f>
        <v/>
      </c>
    </row>
    <row r="45">
      <c r="H45" s="647" t="n"/>
    </row>
    <row r="46">
      <c r="B46" s="182" t="inlineStr">
        <is>
          <t>2000 Series with pedestal includes gasket</t>
        </is>
      </c>
      <c r="F46" s="645">
        <f>F22+F25+G41+G43</f>
        <v/>
      </c>
      <c r="G46" s="645">
        <f>F22+F25+G41+G43</f>
        <v/>
      </c>
      <c r="H46" s="647">
        <f>(G46*$H$4)+G46</f>
        <v/>
      </c>
    </row>
    <row r="47">
      <c r="B47" s="182" t="inlineStr">
        <is>
          <t>2000 Series with recessed includes gasket</t>
        </is>
      </c>
      <c r="F47" s="645">
        <f>F23+F25+G41+G43</f>
        <v/>
      </c>
      <c r="G47" s="645">
        <f>F23+F25+G41+G43</f>
        <v/>
      </c>
      <c r="H47" s="647">
        <f>(G47*$H$4)+G47</f>
        <v/>
      </c>
    </row>
    <row r="48">
      <c r="B48" s="182" t="inlineStr">
        <is>
          <t>2000 Series with plate includes gasket</t>
        </is>
      </c>
      <c r="F48" s="653">
        <f>F25+G41+G43</f>
        <v/>
      </c>
      <c r="G48" s="653">
        <f>F25+G41+G43</f>
        <v/>
      </c>
      <c r="H48" s="649">
        <f>(G48*$H$4)+G48</f>
        <v/>
      </c>
    </row>
    <row r="49">
      <c r="H49" s="647" t="n"/>
    </row>
    <row r="50">
      <c r="C50" s="570" t="inlineStr">
        <is>
          <t>Cost</t>
        </is>
      </c>
      <c r="D50" s="570" t="inlineStr">
        <is>
          <t>Sale Price</t>
        </is>
      </c>
    </row>
    <row r="51">
      <c r="B51" s="182" t="inlineStr">
        <is>
          <t>Seeded</t>
        </is>
      </c>
      <c r="C51" s="645" t="n">
        <v>25</v>
      </c>
      <c r="D51" s="645" t="n">
        <v>48</v>
      </c>
    </row>
    <row r="52">
      <c r="B52" s="182" t="inlineStr">
        <is>
          <t>Blur</t>
        </is>
      </c>
      <c r="C52" s="645" t="n">
        <v>12</v>
      </c>
      <c r="D52" s="645" t="n">
        <v>23</v>
      </c>
    </row>
    <row r="53">
      <c r="B53" s="182" t="inlineStr">
        <is>
          <t>10mm Sevas+SG+12mm+SG+12mm /20/4mm Sunt T+6mm</t>
        </is>
      </c>
      <c r="C53" s="645" t="n">
        <v>95</v>
      </c>
      <c r="D53" s="645" t="n"/>
    </row>
    <row r="54">
      <c r="B54" s="182" t="inlineStr">
        <is>
          <t>12mm+GS+12mm+SG+12mm /20/4mm SunT+6mm</t>
        </is>
      </c>
      <c r="C54" s="645" t="n">
        <v>92</v>
      </c>
      <c r="D54" s="645" t="n"/>
    </row>
  </sheetData>
  <mergeCells count="3">
    <mergeCell ref="E2:E3"/>
    <mergeCell ref="B2:C2"/>
    <mergeCell ref="J3:M3"/>
  </mergeCells>
  <pageMargins left="0.7" right="0.7" top="0.75" bottom="0.75" header="0.3" footer="0.3"/>
  <pageSetup orientation="landscape" scale="94" horizontalDpi="0" verticalDpi="0"/>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B1:D2"/>
  <sheetViews>
    <sheetView workbookViewId="0">
      <selection activeCell="B3" sqref="B3:D12"/>
    </sheetView>
  </sheetViews>
  <sheetFormatPr baseColWidth="10" defaultColWidth="11.5" defaultRowHeight="13"/>
  <cols>
    <col width="21.6640625" customWidth="1" style="486" min="2" max="2"/>
    <col width="48.6640625" customWidth="1" style="486" min="3" max="3"/>
    <col width="22.6640625" customWidth="1" style="486" min="4" max="4"/>
  </cols>
  <sheetData>
    <row r="1">
      <c r="B1" s="570" t="inlineStr">
        <is>
          <t>CR Laurence Parts</t>
        </is>
      </c>
    </row>
    <row r="2" customFormat="1" s="538">
      <c r="B2" s="570" t="inlineStr">
        <is>
          <t>Part Number</t>
        </is>
      </c>
      <c r="C2" s="570" t="inlineStr">
        <is>
          <t>Description</t>
        </is>
      </c>
      <c r="D2" s="570" t="inlineStr">
        <is>
          <t>Price</t>
        </is>
      </c>
    </row>
  </sheetData>
  <mergeCells count="1">
    <mergeCell ref="B1:D1"/>
  </mergeCells>
  <pageMargins left="0.7" right="0.7" top="0.75" bottom="0.75" header="0.3" footer="0.3"/>
  <pageSetup orientation="portrait" horizontalDpi="0"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Michael Borrico</dc:creator>
  <dcterms:created xmlns:dcterms="http://purl.org/dc/terms/" xmlns:xsi="http://www.w3.org/2001/XMLSchema-instance" xsi:type="dcterms:W3CDTF">2002-03-26T12:31:13Z</dcterms:created>
  <dcterms:modified xmlns:dcterms="http://purl.org/dc/terms/" xmlns:xsi="http://www.w3.org/2001/XMLSchema-instance" xsi:type="dcterms:W3CDTF">2026-06-06T07:52:59Z</dcterms:modified>
  <cp:lastModifiedBy>Greg Muniz</cp:lastModifiedBy>
  <cp:lastPrinted>2025-03-20T19:18:32Z</cp:lastPrinted>
</cp:coreProperties>
</file>

<file path=docProps/custom.xml><?xml version="1.0" encoding="utf-8"?>
<Properties xmlns="http://schemas.openxmlformats.org/officeDocument/2006/custom-properties">
  <property name="PSConnected" fmtid="{D5CDD505-2E9C-101B-9397-08002B2CF9AE}" pid="2">
    <vt:bool xmlns:vt="http://schemas.openxmlformats.org/officeDocument/2006/docPropsVTypes">1</vt:bool>
  </property>
</Properties>
</file>